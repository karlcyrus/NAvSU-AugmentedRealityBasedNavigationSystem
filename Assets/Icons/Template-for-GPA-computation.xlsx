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elda\My project (2)\Assets\Icons\"/>
    </mc:Choice>
  </mc:AlternateContent>
  <xr:revisionPtr revIDLastSave="0" documentId="13_ncr:1_{88F08619-2731-4E34-A0C3-DFCEAAE697B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late" sheetId="14" r:id="rId1"/>
  </sheets>
  <definedNames>
    <definedName name="_xlnm.Print_Area" localSheetId="0">Template!$A$1:$G$102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0" i="14" l="1"/>
  <c r="F110" i="14"/>
  <c r="G109" i="14"/>
  <c r="F109" i="14"/>
  <c r="G108" i="14"/>
  <c r="F108" i="14"/>
  <c r="G107" i="14"/>
  <c r="F107" i="14"/>
  <c r="G106" i="14"/>
  <c r="F106" i="14"/>
  <c r="G105" i="14"/>
  <c r="F105" i="14"/>
  <c r="G104" i="14"/>
  <c r="F104" i="14"/>
  <c r="G103" i="14"/>
  <c r="F103" i="14"/>
  <c r="G102" i="14"/>
  <c r="F102" i="14"/>
  <c r="G101" i="14"/>
  <c r="F101" i="14"/>
  <c r="G100" i="14"/>
  <c r="F100" i="14"/>
  <c r="G99" i="14"/>
  <c r="F99" i="14"/>
  <c r="G98" i="14"/>
  <c r="F98" i="14"/>
  <c r="G97" i="14"/>
  <c r="F97" i="14"/>
  <c r="F96" i="14"/>
  <c r="G96" i="14" s="1"/>
  <c r="F95" i="14"/>
  <c r="G95" i="14" s="1"/>
  <c r="F94" i="14"/>
  <c r="G94" i="14" s="1"/>
  <c r="F93" i="14"/>
  <c r="G93" i="14" s="1"/>
  <c r="F92" i="14"/>
  <c r="G92" i="14" s="1"/>
  <c r="F91" i="14"/>
  <c r="G91" i="14" s="1"/>
  <c r="F90" i="14"/>
  <c r="G90" i="14" s="1"/>
  <c r="G87" i="14"/>
  <c r="F87" i="14"/>
  <c r="G86" i="14"/>
  <c r="F86" i="14"/>
  <c r="G85" i="14"/>
  <c r="F85" i="14"/>
  <c r="F84" i="14"/>
  <c r="G84" i="14" s="1"/>
  <c r="F83" i="14"/>
  <c r="G83" i="14" s="1"/>
  <c r="F82" i="14"/>
  <c r="G82" i="14" s="1"/>
  <c r="F81" i="14"/>
  <c r="G81" i="14" s="1"/>
  <c r="G80" i="14"/>
  <c r="F80" i="14"/>
  <c r="F79" i="14"/>
  <c r="G79" i="14" s="1"/>
  <c r="F78" i="14"/>
  <c r="G78" i="14" s="1"/>
  <c r="G77" i="14"/>
  <c r="F77" i="14"/>
  <c r="G76" i="14"/>
  <c r="F76" i="14"/>
  <c r="G75" i="14"/>
  <c r="F75" i="14"/>
  <c r="F74" i="14"/>
  <c r="G74" i="14" s="1"/>
  <c r="F73" i="14"/>
  <c r="G73" i="14" s="1"/>
  <c r="F72" i="14"/>
  <c r="G72" i="14" s="1"/>
  <c r="F71" i="14"/>
  <c r="G71" i="14" s="1"/>
  <c r="F70" i="14"/>
  <c r="G70" i="14" s="1"/>
  <c r="F69" i="14"/>
  <c r="G69" i="14" s="1"/>
  <c r="F68" i="14"/>
  <c r="G68" i="14" s="1"/>
  <c r="F67" i="14"/>
  <c r="G67" i="14" s="1"/>
  <c r="F64" i="14"/>
  <c r="G64" i="14" s="1"/>
  <c r="F63" i="14"/>
  <c r="G63" i="14" s="1"/>
  <c r="F62" i="14"/>
  <c r="G62" i="14" s="1"/>
  <c r="G61" i="14"/>
  <c r="F61" i="14"/>
  <c r="F60" i="14"/>
  <c r="G60" i="14" s="1"/>
  <c r="F59" i="14"/>
  <c r="G59" i="14" s="1"/>
  <c r="F58" i="14"/>
  <c r="G58" i="14" s="1"/>
  <c r="F57" i="14"/>
  <c r="G57" i="14" s="1"/>
  <c r="F56" i="14"/>
  <c r="G56" i="14" s="1"/>
  <c r="F55" i="14"/>
  <c r="G55" i="14" s="1"/>
  <c r="G54" i="14"/>
  <c r="F54" i="14"/>
  <c r="G53" i="14"/>
  <c r="F53" i="14"/>
  <c r="G52" i="14"/>
  <c r="F52" i="14"/>
  <c r="F51" i="14"/>
  <c r="G51" i="14" s="1"/>
  <c r="G50" i="14"/>
  <c r="F50" i="14"/>
  <c r="F49" i="14"/>
  <c r="G49" i="14" s="1"/>
  <c r="F48" i="14"/>
  <c r="G48" i="14" s="1"/>
  <c r="G47" i="14"/>
  <c r="F47" i="14"/>
  <c r="F46" i="14"/>
  <c r="G46" i="14" s="1"/>
  <c r="F45" i="14"/>
  <c r="G45" i="14" s="1"/>
  <c r="F44" i="14"/>
  <c r="G44" i="14" s="1"/>
  <c r="G41" i="14"/>
  <c r="F41" i="14"/>
  <c r="G40" i="14"/>
  <c r="F40" i="14"/>
  <c r="G39" i="14"/>
  <c r="F39" i="14"/>
  <c r="G38" i="14"/>
  <c r="F38" i="14"/>
  <c r="F37" i="14"/>
  <c r="G37" i="14" s="1"/>
  <c r="F36" i="14"/>
  <c r="G36" i="14" s="1"/>
  <c r="F35" i="14"/>
  <c r="G35" i="14" s="1"/>
  <c r="F34" i="14"/>
  <c r="G34" i="14" s="1"/>
  <c r="F33" i="14"/>
  <c r="G33" i="14" s="1"/>
  <c r="F32" i="14"/>
  <c r="G32" i="14" s="1"/>
  <c r="G31" i="14"/>
  <c r="F31" i="14"/>
  <c r="G30" i="14"/>
  <c r="F30" i="14"/>
  <c r="G29" i="14"/>
  <c r="F29" i="14"/>
  <c r="F28" i="14"/>
  <c r="G28" i="14" s="1"/>
  <c r="F27" i="14"/>
  <c r="G27" i="14" s="1"/>
  <c r="F26" i="14"/>
  <c r="G26" i="14" s="1"/>
  <c r="G25" i="14"/>
  <c r="F25" i="14"/>
  <c r="F24" i="14"/>
  <c r="G24" i="14" s="1"/>
  <c r="F23" i="14"/>
  <c r="G23" i="14" s="1"/>
  <c r="F22" i="14"/>
  <c r="G22" i="14" s="1"/>
  <c r="F21" i="14"/>
  <c r="G15" i="14"/>
  <c r="F15" i="14"/>
  <c r="F113" i="14" l="1"/>
  <c r="G21" i="14"/>
  <c r="G113" i="14" s="1"/>
  <c r="F115" i="14" l="1"/>
  <c r="B10" i="14"/>
</calcChain>
</file>

<file path=xl/sharedStrings.xml><?xml version="1.0" encoding="utf-8"?>
<sst xmlns="http://schemas.openxmlformats.org/spreadsheetml/2006/main" count="176" uniqueCount="139">
  <si>
    <t>Republic of the Philippines</t>
  </si>
  <si>
    <t>CAVITE STATE UNIVERSITY-CCAT</t>
  </si>
  <si>
    <t>Rosario, Cavite</t>
  </si>
  <si>
    <t>Major in ________________</t>
  </si>
  <si>
    <t>Name</t>
  </si>
  <si>
    <t>Stdent Number</t>
  </si>
  <si>
    <t>GPA</t>
  </si>
  <si>
    <t>Course</t>
  </si>
  <si>
    <t>Course Title</t>
  </si>
  <si>
    <t>Credit</t>
  </si>
  <si>
    <t>Final</t>
  </si>
  <si>
    <t xml:space="preserve">Credit </t>
  </si>
  <si>
    <t>Product of</t>
  </si>
  <si>
    <t>Code</t>
  </si>
  <si>
    <t>Lec</t>
  </si>
  <si>
    <t>Lab</t>
  </si>
  <si>
    <t>Grade</t>
  </si>
  <si>
    <t>Units</t>
  </si>
  <si>
    <t>Units &amp; Grade</t>
  </si>
  <si>
    <t>Example</t>
  </si>
  <si>
    <t>GNED 03</t>
  </si>
  <si>
    <t>Mathematics in the Modern World</t>
  </si>
  <si>
    <t>Note: Please do not include below the grades and units of the following subjetcs, instead write it on the right side of the template for evaluation:</t>
  </si>
  <si>
    <t>Note: Please do include below the grades and units of the CvSU 101, NSTP 1 and 2, Subjetcs with S as garde, Appraisal Courses subjetcs</t>
  </si>
  <si>
    <t>CvSU 101, NSTP 1 and 2, Subjetcs with S as garde, Appraisal Courses</t>
  </si>
  <si>
    <t>FIRST YEAR</t>
  </si>
  <si>
    <t>First Semester</t>
  </si>
  <si>
    <t>CvSU 101</t>
  </si>
  <si>
    <t>NSTP 1</t>
  </si>
  <si>
    <t>Second Semester</t>
  </si>
  <si>
    <t>NSTP 2</t>
  </si>
  <si>
    <t>SECOND YEAR</t>
  </si>
  <si>
    <t>THIRD YEAR</t>
  </si>
  <si>
    <t>FOURTH YEAR</t>
  </si>
  <si>
    <t>Total Units</t>
  </si>
  <si>
    <t>Total Product</t>
  </si>
  <si>
    <t>Institutional Orientation</t>
  </si>
  <si>
    <t>S</t>
  </si>
  <si>
    <t>National Service Training Program I</t>
  </si>
  <si>
    <t>COSC 50</t>
  </si>
  <si>
    <t>Discrete Structures I</t>
  </si>
  <si>
    <t>DCIT 21A LEC</t>
  </si>
  <si>
    <t>Introduction to Computing</t>
  </si>
  <si>
    <t>DCIT 22A LEC</t>
  </si>
  <si>
    <t>Computer Programming 1</t>
  </si>
  <si>
    <t>DCIT 65A</t>
  </si>
  <si>
    <t>Social and Professional Issues</t>
  </si>
  <si>
    <t>FITT 1</t>
  </si>
  <si>
    <t>Movement Enhancement</t>
  </si>
  <si>
    <t>GNED 02</t>
  </si>
  <si>
    <t>Ethics</t>
  </si>
  <si>
    <t>GNED 05</t>
  </si>
  <si>
    <t>Purposive Communication</t>
  </si>
  <si>
    <t>GNED 11</t>
  </si>
  <si>
    <t>Kontekstwalisadong Komunikasyon sa Filipino</t>
  </si>
  <si>
    <t>FITT 2</t>
  </si>
  <si>
    <t>Fitness Exercises</t>
  </si>
  <si>
    <t>GNED 01</t>
  </si>
  <si>
    <t>Art Appreciation</t>
  </si>
  <si>
    <t>GNED 06</t>
  </si>
  <si>
    <t>Science, Technology and Society</t>
  </si>
  <si>
    <t>GNED 12A</t>
  </si>
  <si>
    <t>Dalumat ng/sa Filipino</t>
  </si>
  <si>
    <t>ITEC 50A LEC</t>
  </si>
  <si>
    <t>Web System and Technologies 1</t>
  </si>
  <si>
    <t>COSC 55C</t>
  </si>
  <si>
    <t>Discrete Structures II</t>
  </si>
  <si>
    <t>COSC 60A LEC</t>
  </si>
  <si>
    <t>Digital Logic Design</t>
  </si>
  <si>
    <t>DCIT 24A LEC</t>
  </si>
  <si>
    <t>Information Management</t>
  </si>
  <si>
    <t>DCIT 50 LEC</t>
  </si>
  <si>
    <t>Object Oriented Programming</t>
  </si>
  <si>
    <t>FITT 3</t>
  </si>
  <si>
    <t>Physical Activities Towards Health and Fitness 1</t>
  </si>
  <si>
    <t>GNED 04</t>
  </si>
  <si>
    <t>Mga Babasahin Hingil sa Kasaysayan ng Pilipinas</t>
  </si>
  <si>
    <t>INSY 50</t>
  </si>
  <si>
    <t>Fundamentals of Information Systems</t>
  </si>
  <si>
    <t>MATH 1A</t>
  </si>
  <si>
    <t>Analytic Geometry</t>
  </si>
  <si>
    <t>COSC 65C LEC</t>
  </si>
  <si>
    <t>Architecture and Organization</t>
  </si>
  <si>
    <t>COSC 70B</t>
  </si>
  <si>
    <t>Software Engineering 1</t>
  </si>
  <si>
    <t>COSC 85C LEC</t>
  </si>
  <si>
    <t>Networks and Communication</t>
  </si>
  <si>
    <t>COSC 90</t>
  </si>
  <si>
    <t>Design and Analysis of Algorithm</t>
  </si>
  <si>
    <t>DCIT 26 LEC</t>
  </si>
  <si>
    <t>Application Development and Emerging Technologies</t>
  </si>
  <si>
    <t>FITT 4</t>
  </si>
  <si>
    <t>Physical Activities Towards Health and Fitness 2</t>
  </si>
  <si>
    <t>GNED 07</t>
  </si>
  <si>
    <t>The Contemporary World</t>
  </si>
  <si>
    <t>GNED 08</t>
  </si>
  <si>
    <t>Understanding the Self</t>
  </si>
  <si>
    <t>GNED 14</t>
  </si>
  <si>
    <t>Panitikang Panlipunan</t>
  </si>
  <si>
    <t>ITEC 85A-1</t>
  </si>
  <si>
    <t>Information Assurance and Security</t>
  </si>
  <si>
    <t>COSC 100A</t>
  </si>
  <si>
    <t>Automata Theory and Formal Languages</t>
  </si>
  <si>
    <t>COSC 75B</t>
  </si>
  <si>
    <t>Software Engineering II</t>
  </si>
  <si>
    <t>DCIT 21A LAB</t>
  </si>
  <si>
    <t>DCIT 22A LAB</t>
  </si>
  <si>
    <t>DCIT 60A</t>
  </si>
  <si>
    <t>Methods of Research</t>
  </si>
  <si>
    <t>GNED 09</t>
  </si>
  <si>
    <t>Life and Works of Rizal</t>
  </si>
  <si>
    <t>ITEC 50A LAB</t>
  </si>
  <si>
    <t>MATH 3A</t>
  </si>
  <si>
    <t>Linear Algebra</t>
  </si>
  <si>
    <t>COSC 60A LAB</t>
  </si>
  <si>
    <t>COSC 65C LAB</t>
  </si>
  <si>
    <t>DCIT 23A</t>
  </si>
  <si>
    <t>Computer Programming II</t>
  </si>
  <si>
    <t>DCIT 24A LAB</t>
  </si>
  <si>
    <t>DCIT 25A</t>
  </si>
  <si>
    <t>Data Structures and Algorithms</t>
  </si>
  <si>
    <t>DCIT 26 LAB</t>
  </si>
  <si>
    <t>DCIT 50 LAB</t>
  </si>
  <si>
    <t>COSC 101A</t>
  </si>
  <si>
    <t>Computer Graphics and Visual Computing</t>
  </si>
  <si>
    <t>COSC 111C</t>
  </si>
  <si>
    <t>Internet of Things</t>
  </si>
  <si>
    <t>COSC 200A-1</t>
  </si>
  <si>
    <t>Undergraduate Thesis 1</t>
  </si>
  <si>
    <t>COSC 80A</t>
  </si>
  <si>
    <t>Operating Systems</t>
  </si>
  <si>
    <t>COSC 85C LAB</t>
  </si>
  <si>
    <t>Networks and Communications</t>
  </si>
  <si>
    <t>DCIT 55A</t>
  </si>
  <si>
    <t>Advanced Database Management System</t>
  </si>
  <si>
    <t>MATH 4C</t>
  </si>
  <si>
    <t>Experimental Statistics</t>
  </si>
  <si>
    <t>Karl Cyrus Celda</t>
  </si>
  <si>
    <t>BACHELOR OF SCIENCE IN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</si>
</sst>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charset val="134"/>
    </font>
    <font>
      <i/>
      <sz val="10"/>
      <name val="Arial Narrow"/>
      <charset val="134"/>
    </font>
    <font>
      <sz val="10"/>
      <name val="Arial Narrow"/>
      <charset val="134"/>
    </font>
    <font>
      <sz val="10"/>
      <color theme="1"/>
      <name val="Arial Narrow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rgb="FF000000"/>
      <name val="Arial Narrow"/>
      <charset val="134"/>
    </font>
    <font>
      <b/>
      <sz val="11"/>
      <color rgb="FF000000"/>
      <name val="Arial Narrow"/>
      <charset val="134"/>
    </font>
    <font>
      <sz val="10"/>
      <color indexed="8"/>
      <name val="Arial Narrow"/>
      <charset val="134"/>
    </font>
    <font>
      <b/>
      <sz val="10"/>
      <color indexed="8"/>
      <name val="Arial Narrow"/>
      <charset val="134"/>
    </font>
    <font>
      <b/>
      <sz val="11"/>
      <color indexed="8"/>
      <name val="Arial Narrow"/>
      <charset val="134"/>
    </font>
    <font>
      <b/>
      <sz val="10"/>
      <name val="Arial Narrow"/>
      <charset val="134"/>
    </font>
    <font>
      <i/>
      <sz val="10"/>
      <color rgb="FFFF0000"/>
      <name val="Arial Narrow"/>
      <charset val="134"/>
    </font>
    <font>
      <b/>
      <i/>
      <sz val="10"/>
      <color rgb="FFFF0000"/>
      <name val="Arial Narrow"/>
      <charset val="134"/>
    </font>
    <font>
      <b/>
      <sz val="10"/>
      <color rgb="FFFF0000"/>
      <name val="Arial Narrow"/>
      <charset val="134"/>
    </font>
    <font>
      <sz val="10"/>
      <color rgb="FFFF0000"/>
      <name val="Arial Narrow"/>
      <charset val="134"/>
    </font>
    <font>
      <sz val="11"/>
      <color theme="1"/>
      <name val="Calibri"/>
      <scheme val="minor"/>
    </font>
    <font>
      <sz val="10"/>
      <color theme="1"/>
      <name val="Arial Narrow"/>
    </font>
    <font>
      <sz val="10"/>
      <color theme="1"/>
      <name val="Arial Narrow"/>
      <family val="2"/>
    </font>
    <font>
      <b/>
      <sz val="10"/>
      <color indexed="8"/>
      <name val="Arial Narrow"/>
      <family val="2"/>
    </font>
    <font>
      <b/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BE4D5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3">
    <xf numFmtId="0" fontId="0" fillId="0" borderId="0"/>
    <xf numFmtId="0" fontId="18" fillId="0" borderId="0"/>
    <xf numFmtId="0" fontId="1" fillId="0" borderId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/>
    </xf>
    <xf numFmtId="2" fontId="16" fillId="0" borderId="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center" wrapText="1"/>
    </xf>
    <xf numFmtId="2" fontId="14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7" fillId="0" borderId="0" xfId="0" applyFont="1"/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2" fontId="4" fillId="0" borderId="2" xfId="0" applyNumberFormat="1" applyFont="1" applyBorder="1" applyAlignment="1">
      <alignment horizontal="left" vertical="center"/>
    </xf>
    <xf numFmtId="2" fontId="11" fillId="0" borderId="2" xfId="0" applyNumberFormat="1" applyFont="1" applyBorder="1" applyAlignment="1">
      <alignment horizontal="center" vertical="center"/>
    </xf>
    <xf numFmtId="2" fontId="10" fillId="0" borderId="0" xfId="0" applyNumberFormat="1" applyFont="1"/>
    <xf numFmtId="0" fontId="11" fillId="0" borderId="0" xfId="0" applyFont="1"/>
    <xf numFmtId="2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2" fontId="5" fillId="0" borderId="0" xfId="0" applyNumberFormat="1" applyFont="1"/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2" fontId="4" fillId="0" borderId="3" xfId="0" applyNumberFormat="1" applyFont="1" applyBorder="1" applyAlignment="1">
      <alignment horizontal="left" vertical="center"/>
    </xf>
    <xf numFmtId="0" fontId="19" fillId="2" borderId="5" xfId="1" applyFont="1" applyFill="1" applyBorder="1" applyAlignment="1">
      <alignment horizontal="left" vertical="top" wrapText="1"/>
    </xf>
    <xf numFmtId="0" fontId="19" fillId="3" borderId="5" xfId="1" applyFont="1" applyFill="1" applyBorder="1" applyAlignment="1">
      <alignment horizontal="left" vertical="center"/>
    </xf>
    <xf numFmtId="2" fontId="19" fillId="3" borderId="5" xfId="1" applyNumberFormat="1" applyFont="1" applyFill="1" applyBorder="1" applyAlignment="1">
      <alignment horizontal="left" vertical="center"/>
    </xf>
    <xf numFmtId="0" fontId="20" fillId="2" borderId="5" xfId="2" applyFont="1" applyFill="1" applyBorder="1" applyAlignment="1">
      <alignment horizontal="left" vertical="top" wrapText="1"/>
    </xf>
    <xf numFmtId="0" fontId="20" fillId="3" borderId="5" xfId="2" applyFont="1" applyFill="1" applyBorder="1" applyAlignment="1">
      <alignment horizontal="left" vertical="center"/>
    </xf>
    <xf numFmtId="2" fontId="20" fillId="3" borderId="5" xfId="2" applyNumberFormat="1" applyFont="1" applyFill="1" applyBorder="1" applyAlignment="1">
      <alignment horizontal="left" vertical="center"/>
    </xf>
    <xf numFmtId="0" fontId="20" fillId="4" borderId="5" xfId="2" applyFont="1" applyFill="1" applyBorder="1" applyAlignment="1">
      <alignment horizontal="left" vertical="top" wrapText="1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</cellXfs>
  <cellStyles count="3">
    <cellStyle name="Normal" xfId="0" builtinId="0"/>
    <cellStyle name="Normal 2" xfId="1" xr:uid="{BD117BD7-F302-48A9-B75D-E6FC00D10214}"/>
    <cellStyle name="Normal 3" xfId="2" xr:uid="{B5A69E7A-C23C-4E7E-986A-962F4AAB292B}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25979</xdr:colOff>
      <xdr:row>0</xdr:row>
      <xdr:rowOff>0</xdr:rowOff>
    </xdr:from>
    <xdr:to>
      <xdr:col>1</xdr:col>
      <xdr:colOff>778842</xdr:colOff>
      <xdr:row>3</xdr:row>
      <xdr:rowOff>69271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0"/>
          <a:ext cx="753110" cy="697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"/>
  <sheetViews>
    <sheetView tabSelected="1" zoomScale="110" zoomScaleNormal="110" workbookViewId="0">
      <selection activeCell="H7" sqref="H7"/>
    </sheetView>
  </sheetViews>
  <sheetFormatPr defaultColWidth="9.109375" defaultRowHeight="13.8"/>
  <cols>
    <col min="1" max="1" width="12" style="6" customWidth="1"/>
    <col min="2" max="2" width="35" style="6" customWidth="1"/>
    <col min="3" max="5" width="5.33203125" style="6" customWidth="1"/>
    <col min="6" max="6" width="8.88671875" style="7" customWidth="1"/>
    <col min="7" max="7" width="13.33203125" style="7" customWidth="1"/>
    <col min="8" max="8" width="5.44140625" style="6" customWidth="1"/>
    <col min="9" max="9" width="12.109375" style="6" customWidth="1"/>
    <col min="10" max="10" width="34.6640625" style="6" customWidth="1"/>
    <col min="11" max="11" width="5.33203125" style="6" customWidth="1"/>
    <col min="12" max="12" width="4.5546875" style="6" customWidth="1"/>
    <col min="13" max="13" width="7.109375" style="6" customWidth="1"/>
    <col min="14" max="16384" width="9.109375" style="6"/>
  </cols>
  <sheetData>
    <row r="1" spans="1:13" s="1" customFormat="1">
      <c r="A1" s="56" t="s">
        <v>0</v>
      </c>
      <c r="B1" s="56"/>
      <c r="C1" s="56"/>
      <c r="D1" s="56"/>
      <c r="E1" s="56"/>
      <c r="F1" s="56"/>
      <c r="G1" s="56"/>
      <c r="I1" s="56"/>
      <c r="J1" s="56"/>
      <c r="K1" s="56"/>
      <c r="L1" s="56"/>
      <c r="M1" s="56"/>
    </row>
    <row r="2" spans="1:13" s="1" customFormat="1">
      <c r="A2" s="57" t="s">
        <v>1</v>
      </c>
      <c r="B2" s="57"/>
      <c r="C2" s="57"/>
      <c r="D2" s="57"/>
      <c r="E2" s="57"/>
      <c r="F2" s="57"/>
      <c r="G2" s="57"/>
      <c r="I2" s="57"/>
      <c r="J2" s="57"/>
      <c r="K2" s="57"/>
      <c r="L2" s="57"/>
      <c r="M2" s="57"/>
    </row>
    <row r="3" spans="1:13" s="1" customFormat="1">
      <c r="A3" s="56" t="s">
        <v>2</v>
      </c>
      <c r="B3" s="56"/>
      <c r="C3" s="56"/>
      <c r="D3" s="56"/>
      <c r="E3" s="56"/>
      <c r="F3" s="56"/>
      <c r="G3" s="56"/>
      <c r="I3" s="56"/>
      <c r="J3" s="56"/>
      <c r="K3" s="56"/>
      <c r="L3" s="56"/>
      <c r="M3" s="56"/>
    </row>
    <row r="4" spans="1:13" s="1" customFormat="1" ht="14.4">
      <c r="A4" s="8"/>
      <c r="B4" s="8"/>
      <c r="C4" s="8"/>
      <c r="D4" s="8"/>
      <c r="E4" s="8"/>
      <c r="F4" s="9"/>
      <c r="G4" s="9"/>
      <c r="I4" s="8"/>
      <c r="J4" s="8"/>
      <c r="K4" s="8"/>
      <c r="L4" s="8"/>
      <c r="M4" s="8"/>
    </row>
    <row r="5" spans="1:13" ht="14.4">
      <c r="A5" s="69" t="s">
        <v>138</v>
      </c>
      <c r="B5" s="53"/>
      <c r="C5" s="53"/>
      <c r="D5" s="53"/>
      <c r="E5" s="53"/>
      <c r="F5" s="53"/>
      <c r="G5" s="53"/>
      <c r="I5" s="53"/>
      <c r="J5" s="53"/>
      <c r="K5" s="53"/>
      <c r="L5" s="53"/>
      <c r="M5" s="53"/>
    </row>
    <row r="6" spans="1:13" ht="14.4">
      <c r="A6" s="54" t="s">
        <v>3</v>
      </c>
      <c r="B6" s="54"/>
      <c r="C6" s="54"/>
      <c r="D6" s="54"/>
      <c r="E6" s="54"/>
      <c r="F6" s="54"/>
      <c r="G6" s="54"/>
      <c r="I6" s="54"/>
      <c r="J6" s="54"/>
      <c r="K6" s="54"/>
      <c r="L6" s="54"/>
      <c r="M6" s="54"/>
    </row>
    <row r="7" spans="1:13" s="1" customFormat="1" ht="14.4">
      <c r="A7" s="10"/>
      <c r="B7" s="10"/>
      <c r="C7" s="10"/>
      <c r="D7" s="10"/>
      <c r="E7" s="10"/>
      <c r="F7" s="9"/>
      <c r="G7" s="9"/>
      <c r="I7" s="10"/>
      <c r="J7" s="10"/>
      <c r="K7" s="10"/>
      <c r="L7" s="10"/>
      <c r="M7" s="10"/>
    </row>
    <row r="8" spans="1:13" s="2" customFormat="1">
      <c r="A8" s="11" t="s">
        <v>4</v>
      </c>
      <c r="B8" s="68" t="s">
        <v>137</v>
      </c>
      <c r="C8" s="10"/>
      <c r="D8" s="10"/>
      <c r="E8" s="10"/>
      <c r="F8" s="9"/>
      <c r="G8" s="9"/>
      <c r="I8" s="11"/>
      <c r="J8" s="10"/>
      <c r="K8" s="10"/>
      <c r="L8" s="10"/>
      <c r="M8" s="10"/>
    </row>
    <row r="9" spans="1:13" s="2" customFormat="1">
      <c r="A9" s="11" t="s">
        <v>5</v>
      </c>
      <c r="B9" s="10">
        <v>202210762</v>
      </c>
      <c r="C9" s="10"/>
      <c r="D9" s="10"/>
      <c r="E9" s="10"/>
      <c r="F9" s="9"/>
      <c r="G9" s="9"/>
      <c r="I9" s="11"/>
      <c r="J9" s="10"/>
      <c r="K9" s="10"/>
      <c r="L9" s="10"/>
      <c r="M9" s="10"/>
    </row>
    <row r="10" spans="1:13" s="2" customFormat="1">
      <c r="A10" s="11" t="s">
        <v>6</v>
      </c>
      <c r="B10" s="10">
        <f>G113/F113</f>
        <v>1.5288461538461537</v>
      </c>
      <c r="C10" s="10"/>
      <c r="D10" s="10"/>
      <c r="E10" s="10"/>
      <c r="F10" s="9"/>
      <c r="G10" s="9"/>
      <c r="I10" s="11"/>
      <c r="J10" s="10"/>
      <c r="K10" s="10"/>
      <c r="L10" s="10"/>
      <c r="M10" s="10"/>
    </row>
    <row r="11" spans="1:13" s="1" customFormat="1" ht="14.4">
      <c r="A11" s="8"/>
      <c r="B11" s="8"/>
      <c r="C11" s="8"/>
      <c r="D11" s="8"/>
      <c r="E11" s="8"/>
      <c r="F11" s="9"/>
      <c r="G11" s="9"/>
      <c r="I11" s="8"/>
      <c r="J11" s="8"/>
      <c r="K11" s="8"/>
      <c r="L11" s="8"/>
      <c r="M11" s="8"/>
    </row>
    <row r="12" spans="1:13" s="3" customFormat="1">
      <c r="A12" s="12" t="s">
        <v>7</v>
      </c>
      <c r="B12" s="51" t="s">
        <v>8</v>
      </c>
      <c r="C12" s="55" t="s">
        <v>9</v>
      </c>
      <c r="D12" s="55"/>
      <c r="E12" s="12" t="s">
        <v>10</v>
      </c>
      <c r="F12" s="14" t="s">
        <v>11</v>
      </c>
      <c r="G12" s="14" t="s">
        <v>12</v>
      </c>
      <c r="I12" s="12" t="s">
        <v>7</v>
      </c>
      <c r="J12" s="51" t="s">
        <v>8</v>
      </c>
      <c r="K12" s="55" t="s">
        <v>9</v>
      </c>
      <c r="L12" s="55"/>
      <c r="M12" s="12" t="s">
        <v>10</v>
      </c>
    </row>
    <row r="13" spans="1:13" s="3" customFormat="1">
      <c r="A13" s="15" t="s">
        <v>13</v>
      </c>
      <c r="B13" s="52"/>
      <c r="C13" s="13" t="s">
        <v>14</v>
      </c>
      <c r="D13" s="13" t="s">
        <v>15</v>
      </c>
      <c r="E13" s="15" t="s">
        <v>16</v>
      </c>
      <c r="F13" s="16" t="s">
        <v>17</v>
      </c>
      <c r="G13" s="16" t="s">
        <v>18</v>
      </c>
      <c r="I13" s="15" t="s">
        <v>13</v>
      </c>
      <c r="J13" s="52"/>
      <c r="K13" s="13" t="s">
        <v>14</v>
      </c>
      <c r="L13" s="13" t="s">
        <v>15</v>
      </c>
      <c r="M13" s="15" t="s">
        <v>16</v>
      </c>
    </row>
    <row r="14" spans="1:13" s="3" customFormat="1">
      <c r="A14" s="17" t="s">
        <v>19</v>
      </c>
      <c r="B14" s="18"/>
      <c r="C14" s="17"/>
      <c r="D14" s="17"/>
      <c r="E14" s="17"/>
      <c r="F14" s="19"/>
      <c r="G14" s="20"/>
      <c r="I14" s="17"/>
      <c r="J14" s="18"/>
      <c r="K14" s="17"/>
      <c r="L14" s="17"/>
      <c r="M14" s="17"/>
    </row>
    <row r="15" spans="1:13" s="3" customFormat="1">
      <c r="A15" s="21" t="s">
        <v>20</v>
      </c>
      <c r="B15" s="22" t="s">
        <v>21</v>
      </c>
      <c r="C15" s="23">
        <v>3</v>
      </c>
      <c r="D15" s="23">
        <v>0</v>
      </c>
      <c r="E15" s="24">
        <v>1.5</v>
      </c>
      <c r="F15" s="25">
        <f>SUM(C15:D15)</f>
        <v>3</v>
      </c>
      <c r="G15" s="25">
        <f>E15*F15</f>
        <v>4.5</v>
      </c>
      <c r="I15" s="21"/>
      <c r="J15" s="22"/>
      <c r="K15" s="23"/>
      <c r="L15" s="23"/>
      <c r="M15" s="24"/>
    </row>
    <row r="16" spans="1:13" s="3" customFormat="1">
      <c r="A16" s="26"/>
      <c r="B16" s="27"/>
      <c r="C16" s="18"/>
      <c r="D16" s="18"/>
      <c r="E16" s="28"/>
      <c r="F16" s="29"/>
      <c r="G16" s="29"/>
      <c r="I16" s="26"/>
      <c r="J16" s="27"/>
      <c r="K16" s="18"/>
      <c r="L16" s="18"/>
      <c r="M16" s="28"/>
    </row>
    <row r="17" spans="1:13" s="3" customFormat="1" ht="29.25" customHeight="1">
      <c r="A17" s="50" t="s">
        <v>22</v>
      </c>
      <c r="B17" s="50"/>
      <c r="C17" s="50"/>
      <c r="D17" s="50"/>
      <c r="E17" s="50"/>
      <c r="F17" s="50"/>
      <c r="G17" s="50"/>
      <c r="I17" s="50" t="s">
        <v>23</v>
      </c>
      <c r="J17" s="50"/>
      <c r="K17" s="50"/>
      <c r="L17" s="50"/>
      <c r="M17" s="50"/>
    </row>
    <row r="18" spans="1:13" s="3" customFormat="1">
      <c r="A18" s="26"/>
      <c r="B18" s="30" t="s">
        <v>24</v>
      </c>
      <c r="C18" s="18"/>
      <c r="D18" s="18"/>
      <c r="E18" s="28"/>
      <c r="F18" s="29"/>
      <c r="G18" s="29"/>
      <c r="I18" s="26"/>
      <c r="J18" s="30"/>
      <c r="K18" s="18"/>
      <c r="L18" s="18"/>
      <c r="M18" s="28"/>
    </row>
    <row r="19" spans="1:13" s="4" customFormat="1">
      <c r="A19" s="11" t="s">
        <v>25</v>
      </c>
      <c r="B19" s="31"/>
      <c r="C19" s="31"/>
      <c r="D19" s="31"/>
      <c r="E19" s="31"/>
      <c r="F19" s="20"/>
      <c r="G19" s="20"/>
      <c r="I19" s="11" t="s">
        <v>25</v>
      </c>
      <c r="J19" s="31"/>
      <c r="K19" s="31"/>
      <c r="L19" s="31"/>
      <c r="M19" s="31"/>
    </row>
    <row r="20" spans="1:13" s="4" customFormat="1">
      <c r="A20" s="8"/>
      <c r="B20" s="10" t="s">
        <v>26</v>
      </c>
      <c r="C20" s="8"/>
      <c r="D20" s="8"/>
      <c r="E20" s="8"/>
      <c r="F20" s="9"/>
      <c r="G20" s="9"/>
      <c r="I20" s="8"/>
      <c r="J20" s="10" t="s">
        <v>26</v>
      </c>
      <c r="K20" s="8"/>
      <c r="L20" s="8"/>
      <c r="M20" s="8"/>
    </row>
    <row r="21" spans="1:13" s="4" customFormat="1">
      <c r="A21" s="32" t="s">
        <v>39</v>
      </c>
      <c r="B21" s="33" t="s">
        <v>40</v>
      </c>
      <c r="C21" s="32">
        <v>3</v>
      </c>
      <c r="D21" s="32">
        <v>0</v>
      </c>
      <c r="E21" s="34">
        <v>1.5</v>
      </c>
      <c r="F21" s="35">
        <f>SUM(C21:D21)</f>
        <v>3</v>
      </c>
      <c r="G21" s="35">
        <f>E21*F21</f>
        <v>4.5</v>
      </c>
      <c r="I21" s="32" t="s">
        <v>27</v>
      </c>
      <c r="J21" s="33" t="s">
        <v>36</v>
      </c>
      <c r="K21" s="48">
        <v>1</v>
      </c>
      <c r="L21" s="48">
        <v>0</v>
      </c>
      <c r="M21" s="49" t="s">
        <v>37</v>
      </c>
    </row>
    <row r="22" spans="1:13" s="4" customFormat="1">
      <c r="A22" s="32" t="s">
        <v>41</v>
      </c>
      <c r="B22" s="33" t="s">
        <v>42</v>
      </c>
      <c r="C22" s="32">
        <v>2</v>
      </c>
      <c r="D22" s="32">
        <v>0</v>
      </c>
      <c r="E22" s="34">
        <v>2.25</v>
      </c>
      <c r="F22" s="35">
        <f t="shared" ref="F22:F41" si="0">SUM(C22:D22)</f>
        <v>2</v>
      </c>
      <c r="G22" s="35">
        <f t="shared" ref="G22:G41" si="1">E22*F22</f>
        <v>4.5</v>
      </c>
      <c r="I22" s="32" t="s">
        <v>28</v>
      </c>
      <c r="J22" s="33" t="s">
        <v>38</v>
      </c>
      <c r="K22" s="48">
        <v>3</v>
      </c>
      <c r="L22" s="48">
        <v>0</v>
      </c>
      <c r="M22" s="49">
        <v>1.25</v>
      </c>
    </row>
    <row r="23" spans="1:13" s="4" customFormat="1">
      <c r="A23" s="32" t="s">
        <v>43</v>
      </c>
      <c r="B23" s="33" t="s">
        <v>44</v>
      </c>
      <c r="C23" s="32">
        <v>1</v>
      </c>
      <c r="D23" s="32">
        <v>0</v>
      </c>
      <c r="E23" s="34">
        <v>1.5</v>
      </c>
      <c r="F23" s="35">
        <f t="shared" si="0"/>
        <v>1</v>
      </c>
      <c r="G23" s="35">
        <f t="shared" si="1"/>
        <v>1.5</v>
      </c>
      <c r="I23" s="32"/>
      <c r="J23" s="33"/>
      <c r="K23" s="32"/>
      <c r="L23" s="32"/>
      <c r="M23" s="34"/>
    </row>
    <row r="24" spans="1:13" s="4" customFormat="1">
      <c r="A24" s="32" t="s">
        <v>45</v>
      </c>
      <c r="B24" s="33" t="s">
        <v>46</v>
      </c>
      <c r="C24" s="32">
        <v>3</v>
      </c>
      <c r="D24" s="32">
        <v>0</v>
      </c>
      <c r="E24" s="34">
        <v>1.5</v>
      </c>
      <c r="F24" s="35">
        <f t="shared" si="0"/>
        <v>3</v>
      </c>
      <c r="G24" s="35">
        <f t="shared" si="1"/>
        <v>4.5</v>
      </c>
      <c r="I24" s="32"/>
      <c r="J24" s="33"/>
      <c r="K24" s="32"/>
      <c r="L24" s="32"/>
      <c r="M24" s="34"/>
    </row>
    <row r="25" spans="1:13" s="4" customFormat="1">
      <c r="A25" s="32" t="s">
        <v>47</v>
      </c>
      <c r="B25" s="33" t="s">
        <v>48</v>
      </c>
      <c r="C25" s="32">
        <v>2</v>
      </c>
      <c r="D25" s="32">
        <v>0</v>
      </c>
      <c r="E25" s="34">
        <v>1.25</v>
      </c>
      <c r="F25" s="35">
        <f t="shared" si="0"/>
        <v>2</v>
      </c>
      <c r="G25" s="35">
        <f t="shared" si="1"/>
        <v>2.5</v>
      </c>
      <c r="I25" s="32"/>
      <c r="J25" s="33"/>
      <c r="K25" s="32"/>
      <c r="L25" s="32"/>
      <c r="M25" s="34"/>
    </row>
    <row r="26" spans="1:13" s="4" customFormat="1">
      <c r="A26" s="32" t="s">
        <v>49</v>
      </c>
      <c r="B26" s="33" t="s">
        <v>50</v>
      </c>
      <c r="C26" s="32">
        <v>3</v>
      </c>
      <c r="D26" s="32">
        <v>0</v>
      </c>
      <c r="E26" s="34">
        <v>1.5</v>
      </c>
      <c r="F26" s="35">
        <f t="shared" si="0"/>
        <v>3</v>
      </c>
      <c r="G26" s="35">
        <f t="shared" si="1"/>
        <v>4.5</v>
      </c>
      <c r="I26" s="32"/>
      <c r="J26" s="33"/>
      <c r="K26" s="32"/>
      <c r="L26" s="32"/>
      <c r="M26" s="34"/>
    </row>
    <row r="27" spans="1:13" s="4" customFormat="1">
      <c r="A27" s="32" t="s">
        <v>51</v>
      </c>
      <c r="B27" s="33" t="s">
        <v>52</v>
      </c>
      <c r="C27" s="32">
        <v>3</v>
      </c>
      <c r="D27" s="32">
        <v>0</v>
      </c>
      <c r="E27" s="34">
        <v>1.5</v>
      </c>
      <c r="F27" s="35">
        <f t="shared" si="0"/>
        <v>3</v>
      </c>
      <c r="G27" s="35">
        <f t="shared" si="1"/>
        <v>4.5</v>
      </c>
      <c r="I27" s="32"/>
      <c r="J27" s="33"/>
      <c r="K27" s="32"/>
      <c r="L27" s="32"/>
      <c r="M27" s="34"/>
    </row>
    <row r="28" spans="1:13" s="4" customFormat="1">
      <c r="A28" s="32" t="s">
        <v>53</v>
      </c>
      <c r="B28" s="32" t="s">
        <v>54</v>
      </c>
      <c r="C28" s="32">
        <v>3</v>
      </c>
      <c r="D28" s="32">
        <v>0</v>
      </c>
      <c r="E28" s="34">
        <v>2</v>
      </c>
      <c r="F28" s="35">
        <f t="shared" si="0"/>
        <v>3</v>
      </c>
      <c r="G28" s="35">
        <f t="shared" si="1"/>
        <v>6</v>
      </c>
      <c r="I28" s="32"/>
      <c r="J28" s="32"/>
      <c r="K28" s="32"/>
      <c r="L28" s="32"/>
      <c r="M28" s="34"/>
    </row>
    <row r="29" spans="1:13" s="4" customFormat="1">
      <c r="A29" s="32"/>
      <c r="B29" s="32"/>
      <c r="C29" s="32"/>
      <c r="D29" s="32"/>
      <c r="E29" s="34"/>
      <c r="F29" s="35">
        <f t="shared" si="0"/>
        <v>0</v>
      </c>
      <c r="G29" s="35">
        <f t="shared" si="1"/>
        <v>0</v>
      </c>
      <c r="I29" s="32"/>
      <c r="J29" s="32"/>
      <c r="K29" s="32"/>
      <c r="L29" s="32"/>
      <c r="M29" s="34"/>
    </row>
    <row r="30" spans="1:13" s="4" customFormat="1">
      <c r="A30" s="32"/>
      <c r="B30" s="32"/>
      <c r="C30" s="32"/>
      <c r="D30" s="32"/>
      <c r="E30" s="34"/>
      <c r="F30" s="35">
        <f t="shared" si="0"/>
        <v>0</v>
      </c>
      <c r="G30" s="35">
        <f t="shared" si="1"/>
        <v>0</v>
      </c>
      <c r="I30" s="32"/>
      <c r="J30" s="32"/>
      <c r="K30" s="32"/>
      <c r="L30" s="32"/>
      <c r="M30" s="34"/>
    </row>
    <row r="31" spans="1:13" s="4" customFormat="1">
      <c r="A31" s="8"/>
      <c r="B31" s="10" t="s">
        <v>29</v>
      </c>
      <c r="C31" s="8"/>
      <c r="D31" s="8"/>
      <c r="E31" s="36"/>
      <c r="F31" s="35">
        <f t="shared" si="0"/>
        <v>0</v>
      </c>
      <c r="G31" s="35">
        <f t="shared" si="1"/>
        <v>0</v>
      </c>
      <c r="I31" s="8"/>
      <c r="J31" s="10" t="s">
        <v>29</v>
      </c>
      <c r="K31" s="8"/>
      <c r="L31" s="8"/>
      <c r="M31" s="36"/>
    </row>
    <row r="32" spans="1:13" s="4" customFormat="1">
      <c r="A32" s="32" t="s">
        <v>55</v>
      </c>
      <c r="B32" s="33" t="s">
        <v>56</v>
      </c>
      <c r="C32" s="32">
        <v>2</v>
      </c>
      <c r="D32" s="32">
        <v>0</v>
      </c>
      <c r="E32" s="34">
        <v>1.5</v>
      </c>
      <c r="F32" s="35">
        <f t="shared" si="0"/>
        <v>2</v>
      </c>
      <c r="G32" s="35">
        <f t="shared" si="1"/>
        <v>3</v>
      </c>
      <c r="I32" s="32" t="s">
        <v>30</v>
      </c>
      <c r="J32" s="33"/>
      <c r="K32" s="32"/>
      <c r="L32" s="32"/>
      <c r="M32" s="34"/>
    </row>
    <row r="33" spans="1:13" s="4" customFormat="1">
      <c r="A33" s="32" t="s">
        <v>57</v>
      </c>
      <c r="B33" s="33" t="s">
        <v>58</v>
      </c>
      <c r="C33" s="32">
        <v>3</v>
      </c>
      <c r="D33" s="32">
        <v>0</v>
      </c>
      <c r="E33" s="34">
        <v>1</v>
      </c>
      <c r="F33" s="35">
        <f t="shared" si="0"/>
        <v>3</v>
      </c>
      <c r="G33" s="35">
        <f t="shared" si="1"/>
        <v>3</v>
      </c>
      <c r="I33" s="32"/>
      <c r="J33" s="33"/>
      <c r="K33" s="32"/>
      <c r="L33" s="32"/>
      <c r="M33" s="34"/>
    </row>
    <row r="34" spans="1:13" s="4" customFormat="1">
      <c r="A34" s="32" t="s">
        <v>20</v>
      </c>
      <c r="B34" s="33" t="s">
        <v>21</v>
      </c>
      <c r="C34" s="32">
        <v>3</v>
      </c>
      <c r="D34" s="32">
        <v>0</v>
      </c>
      <c r="E34" s="34">
        <v>1.5</v>
      </c>
      <c r="F34" s="35">
        <f t="shared" si="0"/>
        <v>3</v>
      </c>
      <c r="G34" s="35">
        <f t="shared" si="1"/>
        <v>4.5</v>
      </c>
      <c r="I34" s="32"/>
      <c r="J34" s="33"/>
      <c r="K34" s="32"/>
      <c r="L34" s="32"/>
      <c r="M34" s="34"/>
    </row>
    <row r="35" spans="1:13" s="4" customFormat="1">
      <c r="A35" s="32" t="s">
        <v>59</v>
      </c>
      <c r="B35" s="33" t="s">
        <v>60</v>
      </c>
      <c r="C35" s="32">
        <v>3</v>
      </c>
      <c r="D35" s="32">
        <v>0</v>
      </c>
      <c r="E35" s="34">
        <v>1.5</v>
      </c>
      <c r="F35" s="35">
        <f t="shared" si="0"/>
        <v>3</v>
      </c>
      <c r="G35" s="35">
        <f t="shared" si="1"/>
        <v>4.5</v>
      </c>
      <c r="I35" s="32"/>
      <c r="J35" s="33"/>
      <c r="K35" s="32"/>
      <c r="L35" s="32"/>
      <c r="M35" s="34"/>
    </row>
    <row r="36" spans="1:13" s="4" customFormat="1">
      <c r="A36" s="32" t="s">
        <v>61</v>
      </c>
      <c r="B36" s="33" t="s">
        <v>62</v>
      </c>
      <c r="C36" s="32">
        <v>3</v>
      </c>
      <c r="D36" s="32">
        <v>0</v>
      </c>
      <c r="E36" s="34">
        <v>1.5</v>
      </c>
      <c r="F36" s="35">
        <f t="shared" si="0"/>
        <v>3</v>
      </c>
      <c r="G36" s="35">
        <f t="shared" si="1"/>
        <v>4.5</v>
      </c>
      <c r="I36" s="32"/>
      <c r="J36" s="33"/>
      <c r="K36" s="32"/>
      <c r="L36" s="32"/>
      <c r="M36" s="34"/>
    </row>
    <row r="37" spans="1:13" s="4" customFormat="1">
      <c r="A37" s="32" t="s">
        <v>63</v>
      </c>
      <c r="B37" s="33" t="s">
        <v>64</v>
      </c>
      <c r="C37" s="32">
        <v>2</v>
      </c>
      <c r="D37" s="32">
        <v>0</v>
      </c>
      <c r="E37" s="34">
        <v>1</v>
      </c>
      <c r="F37" s="35">
        <f t="shared" si="0"/>
        <v>2</v>
      </c>
      <c r="G37" s="35">
        <f t="shared" si="1"/>
        <v>2</v>
      </c>
      <c r="I37" s="32"/>
      <c r="J37" s="33"/>
      <c r="K37" s="32"/>
      <c r="L37" s="32"/>
      <c r="M37" s="34"/>
    </row>
    <row r="38" spans="1:13" s="4" customFormat="1">
      <c r="A38" s="32"/>
      <c r="B38" s="33"/>
      <c r="C38" s="32"/>
      <c r="D38" s="32"/>
      <c r="E38" s="34"/>
      <c r="F38" s="35">
        <f t="shared" si="0"/>
        <v>0</v>
      </c>
      <c r="G38" s="35">
        <f t="shared" si="1"/>
        <v>0</v>
      </c>
      <c r="I38" s="32"/>
      <c r="J38" s="33"/>
      <c r="K38" s="32"/>
      <c r="L38" s="32"/>
      <c r="M38" s="34"/>
    </row>
    <row r="39" spans="1:13" s="4" customFormat="1">
      <c r="A39" s="32"/>
      <c r="B39" s="32"/>
      <c r="C39" s="32"/>
      <c r="D39" s="32"/>
      <c r="E39" s="34"/>
      <c r="F39" s="35">
        <f t="shared" ref="F39" si="2">SUM(C39:D39)</f>
        <v>0</v>
      </c>
      <c r="G39" s="35">
        <f t="shared" ref="G39" si="3">E39*F39</f>
        <v>0</v>
      </c>
      <c r="I39" s="32"/>
      <c r="J39" s="32"/>
      <c r="K39" s="32"/>
      <c r="L39" s="32"/>
      <c r="M39" s="34"/>
    </row>
    <row r="40" spans="1:13" s="4" customFormat="1">
      <c r="A40" s="32"/>
      <c r="B40" s="32"/>
      <c r="C40" s="32"/>
      <c r="D40" s="32"/>
      <c r="E40" s="34"/>
      <c r="F40" s="35">
        <f t="shared" si="0"/>
        <v>0</v>
      </c>
      <c r="G40" s="35">
        <f t="shared" si="1"/>
        <v>0</v>
      </c>
      <c r="I40" s="32"/>
      <c r="J40" s="32"/>
      <c r="K40" s="32"/>
      <c r="L40" s="32"/>
      <c r="M40" s="34"/>
    </row>
    <row r="41" spans="1:13" s="4" customFormat="1">
      <c r="A41" s="32"/>
      <c r="B41" s="32"/>
      <c r="C41" s="32"/>
      <c r="D41" s="32"/>
      <c r="E41" s="34"/>
      <c r="F41" s="35">
        <f t="shared" si="0"/>
        <v>0</v>
      </c>
      <c r="G41" s="35">
        <f t="shared" si="1"/>
        <v>0</v>
      </c>
      <c r="I41" s="32"/>
      <c r="J41" s="32"/>
      <c r="K41" s="32"/>
      <c r="L41" s="32"/>
      <c r="M41" s="34"/>
    </row>
    <row r="42" spans="1:13" s="4" customFormat="1">
      <c r="A42" s="37" t="s">
        <v>31</v>
      </c>
      <c r="B42" s="8"/>
      <c r="C42" s="8"/>
      <c r="D42" s="8"/>
      <c r="E42" s="36"/>
      <c r="F42" s="38"/>
      <c r="G42" s="38"/>
      <c r="H42" s="36"/>
      <c r="I42" s="37" t="s">
        <v>31</v>
      </c>
      <c r="J42" s="8"/>
      <c r="K42" s="8"/>
      <c r="L42" s="8"/>
      <c r="M42" s="36"/>
    </row>
    <row r="43" spans="1:13" s="4" customFormat="1">
      <c r="A43" s="8"/>
      <c r="B43" s="10" t="s">
        <v>26</v>
      </c>
      <c r="C43" s="8"/>
      <c r="D43" s="8"/>
      <c r="E43" s="8"/>
      <c r="F43" s="9"/>
      <c r="G43" s="9"/>
      <c r="I43" s="8"/>
      <c r="J43" s="10" t="s">
        <v>26</v>
      </c>
      <c r="K43" s="8"/>
      <c r="L43" s="8"/>
      <c r="M43" s="8"/>
    </row>
    <row r="44" spans="1:13" s="4" customFormat="1">
      <c r="A44" s="32" t="s">
        <v>65</v>
      </c>
      <c r="B44" s="33" t="s">
        <v>66</v>
      </c>
      <c r="C44" s="32">
        <v>3</v>
      </c>
      <c r="D44" s="32">
        <v>0</v>
      </c>
      <c r="E44" s="34">
        <v>1.25</v>
      </c>
      <c r="F44" s="35">
        <f>SUM(C44:D44)</f>
        <v>3</v>
      </c>
      <c r="G44" s="35">
        <f>E44*F44</f>
        <v>3.75</v>
      </c>
      <c r="I44" s="32"/>
      <c r="J44" s="33"/>
      <c r="K44" s="32"/>
      <c r="L44" s="32"/>
      <c r="M44" s="34"/>
    </row>
    <row r="45" spans="1:13" s="4" customFormat="1">
      <c r="A45" s="32" t="s">
        <v>67</v>
      </c>
      <c r="B45" s="33" t="s">
        <v>68</v>
      </c>
      <c r="C45" s="32">
        <v>2</v>
      </c>
      <c r="D45" s="32">
        <v>0</v>
      </c>
      <c r="E45" s="34">
        <v>2</v>
      </c>
      <c r="F45" s="35">
        <f t="shared" ref="F45:F64" si="4">SUM(C45:D45)</f>
        <v>2</v>
      </c>
      <c r="G45" s="35">
        <f t="shared" ref="G45:G64" si="5">E45*F45</f>
        <v>4</v>
      </c>
      <c r="I45" s="32"/>
      <c r="J45" s="33"/>
      <c r="K45" s="32"/>
      <c r="L45" s="32"/>
      <c r="M45" s="34"/>
    </row>
    <row r="46" spans="1:13" s="4" customFormat="1">
      <c r="A46" s="32" t="s">
        <v>69</v>
      </c>
      <c r="B46" s="33" t="s">
        <v>70</v>
      </c>
      <c r="C46" s="32">
        <v>2</v>
      </c>
      <c r="D46" s="32">
        <v>0</v>
      </c>
      <c r="E46" s="34">
        <v>1.75</v>
      </c>
      <c r="F46" s="35">
        <f t="shared" si="4"/>
        <v>2</v>
      </c>
      <c r="G46" s="35">
        <f t="shared" si="5"/>
        <v>3.5</v>
      </c>
      <c r="I46" s="32"/>
      <c r="J46" s="33"/>
      <c r="K46" s="32"/>
      <c r="L46" s="32"/>
      <c r="M46" s="34"/>
    </row>
    <row r="47" spans="1:13" s="4" customFormat="1">
      <c r="A47" s="32" t="s">
        <v>71</v>
      </c>
      <c r="B47" s="33" t="s">
        <v>72</v>
      </c>
      <c r="C47" s="32">
        <v>2</v>
      </c>
      <c r="D47" s="32">
        <v>0</v>
      </c>
      <c r="E47" s="34">
        <v>1.5</v>
      </c>
      <c r="F47" s="35">
        <f t="shared" si="4"/>
        <v>2</v>
      </c>
      <c r="G47" s="35">
        <f t="shared" si="5"/>
        <v>3</v>
      </c>
      <c r="I47" s="32"/>
      <c r="J47" s="33"/>
      <c r="K47" s="32"/>
      <c r="L47" s="32"/>
      <c r="M47" s="34"/>
    </row>
    <row r="48" spans="1:13" s="4" customFormat="1">
      <c r="A48" s="32" t="s">
        <v>73</v>
      </c>
      <c r="B48" s="33" t="s">
        <v>74</v>
      </c>
      <c r="C48" s="32">
        <v>2</v>
      </c>
      <c r="D48" s="32">
        <v>0</v>
      </c>
      <c r="E48" s="34">
        <v>1.5</v>
      </c>
      <c r="F48" s="35">
        <f t="shared" si="4"/>
        <v>2</v>
      </c>
      <c r="G48" s="35">
        <f t="shared" si="5"/>
        <v>3</v>
      </c>
      <c r="I48" s="32"/>
      <c r="J48" s="33"/>
      <c r="K48" s="32"/>
      <c r="L48" s="32"/>
      <c r="M48" s="34"/>
    </row>
    <row r="49" spans="1:13" s="4" customFormat="1" ht="27.6">
      <c r="A49" s="32" t="s">
        <v>75</v>
      </c>
      <c r="B49" s="33" t="s">
        <v>76</v>
      </c>
      <c r="C49" s="32">
        <v>3</v>
      </c>
      <c r="D49" s="32">
        <v>0</v>
      </c>
      <c r="E49" s="34">
        <v>1.75</v>
      </c>
      <c r="F49" s="35">
        <f t="shared" si="4"/>
        <v>3</v>
      </c>
      <c r="G49" s="35">
        <f t="shared" si="5"/>
        <v>5.25</v>
      </c>
      <c r="I49" s="32"/>
      <c r="J49" s="33"/>
      <c r="K49" s="32"/>
      <c r="L49" s="32"/>
      <c r="M49" s="34"/>
    </row>
    <row r="50" spans="1:13" s="4" customFormat="1">
      <c r="A50" s="32" t="s">
        <v>77</v>
      </c>
      <c r="B50" s="33" t="s">
        <v>78</v>
      </c>
      <c r="C50" s="32">
        <v>3</v>
      </c>
      <c r="D50" s="32">
        <v>0</v>
      </c>
      <c r="E50" s="34">
        <v>2</v>
      </c>
      <c r="F50" s="35">
        <f t="shared" si="4"/>
        <v>3</v>
      </c>
      <c r="G50" s="35">
        <f t="shared" si="5"/>
        <v>6</v>
      </c>
      <c r="I50" s="32"/>
      <c r="J50" s="33"/>
      <c r="K50" s="32"/>
      <c r="L50" s="32"/>
      <c r="M50" s="34"/>
    </row>
    <row r="51" spans="1:13" s="4" customFormat="1">
      <c r="A51" s="32" t="s">
        <v>79</v>
      </c>
      <c r="B51" s="32" t="s">
        <v>80</v>
      </c>
      <c r="C51" s="32">
        <v>3</v>
      </c>
      <c r="D51" s="32">
        <v>0</v>
      </c>
      <c r="E51" s="34">
        <v>1.25</v>
      </c>
      <c r="F51" s="35">
        <f t="shared" si="4"/>
        <v>3</v>
      </c>
      <c r="G51" s="35">
        <f t="shared" si="5"/>
        <v>3.75</v>
      </c>
      <c r="I51" s="32"/>
      <c r="J51" s="32"/>
      <c r="K51" s="32"/>
      <c r="L51" s="32"/>
      <c r="M51" s="34"/>
    </row>
    <row r="52" spans="1:13" s="4" customFormat="1">
      <c r="A52" s="32"/>
      <c r="B52" s="32"/>
      <c r="C52" s="32"/>
      <c r="D52" s="32"/>
      <c r="E52" s="34"/>
      <c r="F52" s="35">
        <f t="shared" si="4"/>
        <v>0</v>
      </c>
      <c r="G52" s="35">
        <f t="shared" si="5"/>
        <v>0</v>
      </c>
      <c r="I52" s="32"/>
      <c r="J52" s="32"/>
      <c r="K52" s="32"/>
      <c r="L52" s="32"/>
      <c r="M52" s="34"/>
    </row>
    <row r="53" spans="1:13" s="4" customFormat="1">
      <c r="A53" s="32"/>
      <c r="B53" s="32"/>
      <c r="C53" s="32"/>
      <c r="D53" s="32"/>
      <c r="E53" s="34"/>
      <c r="F53" s="35">
        <f t="shared" si="4"/>
        <v>0</v>
      </c>
      <c r="G53" s="35">
        <f t="shared" si="5"/>
        <v>0</v>
      </c>
      <c r="I53" s="32"/>
      <c r="J53" s="32"/>
      <c r="K53" s="32"/>
      <c r="L53" s="32"/>
      <c r="M53" s="34"/>
    </row>
    <row r="54" spans="1:13" s="4" customFormat="1">
      <c r="A54" s="8"/>
      <c r="B54" s="10" t="s">
        <v>29</v>
      </c>
      <c r="C54" s="8"/>
      <c r="D54" s="8"/>
      <c r="E54" s="36"/>
      <c r="F54" s="35">
        <f t="shared" si="4"/>
        <v>0</v>
      </c>
      <c r="G54" s="35">
        <f t="shared" si="5"/>
        <v>0</v>
      </c>
      <c r="I54" s="8"/>
      <c r="J54" s="10" t="s">
        <v>29</v>
      </c>
      <c r="K54" s="8"/>
      <c r="L54" s="8"/>
      <c r="M54" s="36"/>
    </row>
    <row r="55" spans="1:13" s="4" customFormat="1">
      <c r="A55" s="32" t="s">
        <v>81</v>
      </c>
      <c r="B55" s="33" t="s">
        <v>82</v>
      </c>
      <c r="C55" s="32">
        <v>2</v>
      </c>
      <c r="D55" s="32">
        <v>0</v>
      </c>
      <c r="E55" s="34">
        <v>1.5</v>
      </c>
      <c r="F55" s="35">
        <f t="shared" si="4"/>
        <v>2</v>
      </c>
      <c r="G55" s="35">
        <f t="shared" si="5"/>
        <v>3</v>
      </c>
      <c r="I55" s="32"/>
      <c r="J55" s="33"/>
      <c r="K55" s="32"/>
      <c r="L55" s="32"/>
      <c r="M55" s="34"/>
    </row>
    <row r="56" spans="1:13" s="4" customFormat="1">
      <c r="A56" s="32" t="s">
        <v>83</v>
      </c>
      <c r="B56" s="33" t="s">
        <v>84</v>
      </c>
      <c r="C56" s="32">
        <v>3</v>
      </c>
      <c r="D56" s="32">
        <v>0</v>
      </c>
      <c r="E56" s="34">
        <v>1.5</v>
      </c>
      <c r="F56" s="35">
        <f t="shared" si="4"/>
        <v>3</v>
      </c>
      <c r="G56" s="35">
        <f t="shared" si="5"/>
        <v>4.5</v>
      </c>
      <c r="I56" s="32"/>
      <c r="J56" s="33"/>
      <c r="K56" s="32"/>
      <c r="L56" s="32"/>
      <c r="M56" s="34"/>
    </row>
    <row r="57" spans="1:13" s="4" customFormat="1">
      <c r="A57" s="32" t="s">
        <v>85</v>
      </c>
      <c r="B57" s="33" t="s">
        <v>86</v>
      </c>
      <c r="C57" s="32">
        <v>2</v>
      </c>
      <c r="D57" s="32">
        <v>0</v>
      </c>
      <c r="E57" s="34">
        <v>1.5</v>
      </c>
      <c r="F57" s="35">
        <f t="shared" si="4"/>
        <v>2</v>
      </c>
      <c r="G57" s="35">
        <f t="shared" si="5"/>
        <v>3</v>
      </c>
      <c r="I57" s="32"/>
      <c r="J57" s="33"/>
      <c r="K57" s="32"/>
      <c r="L57" s="32"/>
      <c r="M57" s="34"/>
    </row>
    <row r="58" spans="1:13" s="4" customFormat="1">
      <c r="A58" s="32" t="s">
        <v>87</v>
      </c>
      <c r="B58" s="33" t="s">
        <v>88</v>
      </c>
      <c r="C58" s="32">
        <v>3</v>
      </c>
      <c r="D58" s="32">
        <v>0</v>
      </c>
      <c r="E58" s="34">
        <v>1.5</v>
      </c>
      <c r="F58" s="35">
        <f t="shared" si="4"/>
        <v>3</v>
      </c>
      <c r="G58" s="35">
        <f t="shared" si="5"/>
        <v>4.5</v>
      </c>
      <c r="I58" s="32"/>
      <c r="J58" s="33"/>
      <c r="K58" s="32"/>
      <c r="L58" s="32"/>
      <c r="M58" s="34"/>
    </row>
    <row r="59" spans="1:13" s="4" customFormat="1" ht="27.6">
      <c r="A59" s="32" t="s">
        <v>89</v>
      </c>
      <c r="B59" s="33" t="s">
        <v>90</v>
      </c>
      <c r="C59" s="32">
        <v>2</v>
      </c>
      <c r="D59" s="32">
        <v>0</v>
      </c>
      <c r="E59" s="34">
        <v>1.5</v>
      </c>
      <c r="F59" s="35">
        <f t="shared" si="4"/>
        <v>2</v>
      </c>
      <c r="G59" s="35">
        <f t="shared" si="5"/>
        <v>3</v>
      </c>
      <c r="I59" s="32"/>
      <c r="J59" s="33"/>
      <c r="K59" s="32"/>
      <c r="L59" s="32"/>
      <c r="M59" s="34"/>
    </row>
    <row r="60" spans="1:13" s="4" customFormat="1">
      <c r="A60" s="32" t="s">
        <v>91</v>
      </c>
      <c r="B60" s="33" t="s">
        <v>92</v>
      </c>
      <c r="C60" s="32">
        <v>2</v>
      </c>
      <c r="D60" s="32">
        <v>0</v>
      </c>
      <c r="E60" s="34">
        <v>1.5</v>
      </c>
      <c r="F60" s="35">
        <f t="shared" si="4"/>
        <v>2</v>
      </c>
      <c r="G60" s="35">
        <f t="shared" si="5"/>
        <v>3</v>
      </c>
      <c r="I60" s="32"/>
      <c r="J60" s="33"/>
      <c r="K60" s="32"/>
      <c r="L60" s="32"/>
      <c r="M60" s="34"/>
    </row>
    <row r="61" spans="1:13" s="4" customFormat="1">
      <c r="A61" s="32" t="s">
        <v>93</v>
      </c>
      <c r="B61" s="33" t="s">
        <v>94</v>
      </c>
      <c r="C61" s="32">
        <v>3</v>
      </c>
      <c r="D61" s="32">
        <v>0</v>
      </c>
      <c r="E61" s="34">
        <v>1.25</v>
      </c>
      <c r="F61" s="35">
        <f t="shared" si="4"/>
        <v>3</v>
      </c>
      <c r="G61" s="35">
        <f t="shared" si="5"/>
        <v>3.75</v>
      </c>
      <c r="I61" s="32"/>
      <c r="J61" s="33"/>
      <c r="K61" s="32"/>
      <c r="L61" s="32"/>
      <c r="M61" s="34"/>
    </row>
    <row r="62" spans="1:13" s="4" customFormat="1">
      <c r="A62" s="32" t="s">
        <v>95</v>
      </c>
      <c r="B62" s="32" t="s">
        <v>96</v>
      </c>
      <c r="C62" s="32">
        <v>3</v>
      </c>
      <c r="D62" s="32">
        <v>0</v>
      </c>
      <c r="E62" s="34">
        <v>1.25</v>
      </c>
      <c r="F62" s="35">
        <f t="shared" si="4"/>
        <v>3</v>
      </c>
      <c r="G62" s="35">
        <f t="shared" si="5"/>
        <v>3.75</v>
      </c>
      <c r="I62" s="32"/>
      <c r="J62" s="32"/>
      <c r="K62" s="32"/>
      <c r="L62" s="32"/>
      <c r="M62" s="34"/>
    </row>
    <row r="63" spans="1:13" s="4" customFormat="1">
      <c r="A63" s="32" t="s">
        <v>97</v>
      </c>
      <c r="B63" s="32" t="s">
        <v>98</v>
      </c>
      <c r="C63" s="32">
        <v>3</v>
      </c>
      <c r="D63" s="32">
        <v>0</v>
      </c>
      <c r="E63" s="34">
        <v>1</v>
      </c>
      <c r="F63" s="35">
        <f t="shared" si="4"/>
        <v>3</v>
      </c>
      <c r="G63" s="35">
        <f t="shared" si="5"/>
        <v>3</v>
      </c>
      <c r="I63" s="32"/>
      <c r="J63" s="32"/>
      <c r="K63" s="32"/>
      <c r="L63" s="32"/>
      <c r="M63" s="34"/>
    </row>
    <row r="64" spans="1:13" s="4" customFormat="1">
      <c r="A64" s="32" t="s">
        <v>99</v>
      </c>
      <c r="B64" s="32" t="s">
        <v>100</v>
      </c>
      <c r="C64" s="32">
        <v>2</v>
      </c>
      <c r="D64" s="32">
        <v>0</v>
      </c>
      <c r="E64" s="34">
        <v>2</v>
      </c>
      <c r="F64" s="35">
        <f t="shared" si="4"/>
        <v>2</v>
      </c>
      <c r="G64" s="35">
        <f t="shared" si="5"/>
        <v>4</v>
      </c>
      <c r="I64" s="32"/>
      <c r="J64" s="32"/>
      <c r="K64" s="32"/>
      <c r="L64" s="32"/>
      <c r="M64" s="34"/>
    </row>
    <row r="65" spans="1:13" s="4" customFormat="1">
      <c r="A65" s="39" t="s">
        <v>32</v>
      </c>
      <c r="B65" s="40"/>
      <c r="C65" s="40"/>
      <c r="D65" s="40"/>
      <c r="E65" s="40"/>
      <c r="F65" s="41"/>
      <c r="G65" s="41"/>
      <c r="H65" s="40"/>
      <c r="I65" s="39" t="s">
        <v>32</v>
      </c>
      <c r="J65" s="40"/>
      <c r="K65" s="40"/>
      <c r="L65" s="40"/>
      <c r="M65" s="40"/>
    </row>
    <row r="66" spans="1:13" s="4" customFormat="1">
      <c r="A66" s="8"/>
      <c r="B66" s="10" t="s">
        <v>26</v>
      </c>
      <c r="C66" s="8"/>
      <c r="D66" s="8"/>
      <c r="E66" s="8"/>
      <c r="F66" s="9"/>
      <c r="G66" s="9"/>
      <c r="I66" s="8"/>
      <c r="J66" s="10" t="s">
        <v>26</v>
      </c>
      <c r="K66" s="8"/>
      <c r="L66" s="8"/>
      <c r="M66" s="8"/>
    </row>
    <row r="67" spans="1:13" s="4" customFormat="1">
      <c r="A67" s="61" t="s">
        <v>101</v>
      </c>
      <c r="B67" s="61" t="s">
        <v>102</v>
      </c>
      <c r="C67" s="62">
        <v>3</v>
      </c>
      <c r="D67" s="62">
        <v>0</v>
      </c>
      <c r="E67" s="63">
        <v>2.25</v>
      </c>
      <c r="F67" s="58">
        <f>SUM(C67:D67)</f>
        <v>3</v>
      </c>
      <c r="G67" s="35">
        <f>E67*F67</f>
        <v>6.75</v>
      </c>
      <c r="I67" s="32"/>
      <c r="J67" s="33"/>
      <c r="K67" s="32"/>
      <c r="L67" s="32"/>
      <c r="M67" s="34"/>
    </row>
    <row r="68" spans="1:13" s="4" customFormat="1">
      <c r="A68" s="61" t="s">
        <v>103</v>
      </c>
      <c r="B68" s="61" t="s">
        <v>104</v>
      </c>
      <c r="C68" s="62">
        <v>2</v>
      </c>
      <c r="D68" s="62">
        <v>1</v>
      </c>
      <c r="E68" s="63">
        <v>1</v>
      </c>
      <c r="F68" s="58">
        <f t="shared" ref="F68:F87" si="6">SUM(C68:D68)</f>
        <v>3</v>
      </c>
      <c r="G68" s="35">
        <f t="shared" ref="G68:G87" si="7">E68*F68</f>
        <v>3</v>
      </c>
      <c r="I68" s="32"/>
      <c r="J68" s="33"/>
      <c r="K68" s="32"/>
      <c r="L68" s="32"/>
      <c r="M68" s="34"/>
    </row>
    <row r="69" spans="1:13" s="4" customFormat="1">
      <c r="A69" s="61" t="s">
        <v>105</v>
      </c>
      <c r="B69" s="61" t="s">
        <v>42</v>
      </c>
      <c r="C69" s="62">
        <v>0</v>
      </c>
      <c r="D69" s="62">
        <v>1</v>
      </c>
      <c r="E69" s="63">
        <v>1.25</v>
      </c>
      <c r="F69" s="58">
        <f t="shared" si="6"/>
        <v>1</v>
      </c>
      <c r="G69" s="35">
        <f t="shared" si="7"/>
        <v>1.25</v>
      </c>
      <c r="I69" s="32"/>
      <c r="J69" s="33"/>
      <c r="K69" s="32"/>
      <c r="L69" s="32"/>
      <c r="M69" s="34"/>
    </row>
    <row r="70" spans="1:13" s="4" customFormat="1">
      <c r="A70" s="61" t="s">
        <v>106</v>
      </c>
      <c r="B70" s="61" t="s">
        <v>44</v>
      </c>
      <c r="C70" s="62">
        <v>0</v>
      </c>
      <c r="D70" s="62">
        <v>2</v>
      </c>
      <c r="E70" s="63">
        <v>1.25</v>
      </c>
      <c r="F70" s="58">
        <f t="shared" si="6"/>
        <v>2</v>
      </c>
      <c r="G70" s="35">
        <f t="shared" si="7"/>
        <v>2.5</v>
      </c>
      <c r="I70" s="32"/>
      <c r="J70" s="33"/>
      <c r="K70" s="32"/>
      <c r="L70" s="32"/>
      <c r="M70" s="34"/>
    </row>
    <row r="71" spans="1:13" s="4" customFormat="1">
      <c r="A71" s="61" t="s">
        <v>107</v>
      </c>
      <c r="B71" s="61" t="s">
        <v>108</v>
      </c>
      <c r="C71" s="62">
        <v>3</v>
      </c>
      <c r="D71" s="62">
        <v>0</v>
      </c>
      <c r="E71" s="63">
        <v>1.5</v>
      </c>
      <c r="F71" s="58">
        <f t="shared" si="6"/>
        <v>3</v>
      </c>
      <c r="G71" s="35">
        <f t="shared" si="7"/>
        <v>4.5</v>
      </c>
      <c r="I71" s="32"/>
      <c r="J71" s="33"/>
      <c r="K71" s="32"/>
      <c r="L71" s="32"/>
      <c r="M71" s="34"/>
    </row>
    <row r="72" spans="1:13" s="4" customFormat="1">
      <c r="A72" s="61" t="s">
        <v>109</v>
      </c>
      <c r="B72" s="61" t="s">
        <v>110</v>
      </c>
      <c r="C72" s="62">
        <v>3</v>
      </c>
      <c r="D72" s="62">
        <v>0</v>
      </c>
      <c r="E72" s="63">
        <v>2</v>
      </c>
      <c r="F72" s="58">
        <f t="shared" si="6"/>
        <v>3</v>
      </c>
      <c r="G72" s="35">
        <f t="shared" si="7"/>
        <v>6</v>
      </c>
      <c r="I72" s="32"/>
      <c r="J72" s="33"/>
      <c r="K72" s="32"/>
      <c r="L72" s="32"/>
      <c r="M72" s="34"/>
    </row>
    <row r="73" spans="1:13" s="4" customFormat="1">
      <c r="A73" s="61" t="s">
        <v>111</v>
      </c>
      <c r="B73" s="61" t="s">
        <v>64</v>
      </c>
      <c r="C73" s="62">
        <v>0</v>
      </c>
      <c r="D73" s="62">
        <v>1</v>
      </c>
      <c r="E73" s="63">
        <v>1.75</v>
      </c>
      <c r="F73" s="58">
        <f t="shared" si="6"/>
        <v>1</v>
      </c>
      <c r="G73" s="35">
        <f t="shared" si="7"/>
        <v>1.75</v>
      </c>
      <c r="I73" s="32"/>
      <c r="J73" s="33"/>
      <c r="K73" s="32"/>
      <c r="L73" s="32"/>
      <c r="M73" s="34"/>
    </row>
    <row r="74" spans="1:13" s="4" customFormat="1">
      <c r="A74" s="61" t="s">
        <v>112</v>
      </c>
      <c r="B74" s="61" t="s">
        <v>113</v>
      </c>
      <c r="C74" s="62">
        <v>3</v>
      </c>
      <c r="D74" s="62">
        <v>0</v>
      </c>
      <c r="E74" s="63">
        <v>2</v>
      </c>
      <c r="F74" s="58">
        <f t="shared" si="6"/>
        <v>3</v>
      </c>
      <c r="G74" s="35">
        <f t="shared" si="7"/>
        <v>6</v>
      </c>
      <c r="I74" s="32"/>
      <c r="J74" s="32"/>
      <c r="K74" s="32"/>
      <c r="L74" s="32"/>
      <c r="M74" s="34"/>
    </row>
    <row r="75" spans="1:13" s="4" customFormat="1">
      <c r="A75" s="59"/>
      <c r="B75" s="59"/>
      <c r="C75" s="59"/>
      <c r="D75" s="59"/>
      <c r="E75" s="60"/>
      <c r="F75" s="35">
        <f t="shared" si="6"/>
        <v>0</v>
      </c>
      <c r="G75" s="35">
        <f t="shared" si="7"/>
        <v>0</v>
      </c>
      <c r="I75" s="32"/>
      <c r="J75" s="32"/>
      <c r="K75" s="32"/>
      <c r="L75" s="32"/>
      <c r="M75" s="34"/>
    </row>
    <row r="76" spans="1:13" s="4" customFormat="1">
      <c r="A76" s="32"/>
      <c r="B76" s="32"/>
      <c r="C76" s="32"/>
      <c r="D76" s="32"/>
      <c r="E76" s="34"/>
      <c r="F76" s="35">
        <f t="shared" si="6"/>
        <v>0</v>
      </c>
      <c r="G76" s="35">
        <f t="shared" si="7"/>
        <v>0</v>
      </c>
      <c r="I76" s="32"/>
      <c r="J76" s="32"/>
      <c r="K76" s="32"/>
      <c r="L76" s="32"/>
      <c r="M76" s="34"/>
    </row>
    <row r="77" spans="1:13" s="4" customFormat="1">
      <c r="A77" s="8"/>
      <c r="B77" s="10" t="s">
        <v>29</v>
      </c>
      <c r="C77" s="8"/>
      <c r="D77" s="8"/>
      <c r="E77" s="36"/>
      <c r="F77" s="35">
        <f t="shared" si="6"/>
        <v>0</v>
      </c>
      <c r="G77" s="35">
        <f t="shared" si="7"/>
        <v>0</v>
      </c>
      <c r="I77" s="8"/>
      <c r="J77" s="10" t="s">
        <v>29</v>
      </c>
      <c r="K77" s="8"/>
      <c r="L77" s="8"/>
      <c r="M77" s="36"/>
    </row>
    <row r="78" spans="1:13" s="4" customFormat="1">
      <c r="A78" s="64" t="s">
        <v>114</v>
      </c>
      <c r="B78" s="64" t="s">
        <v>68</v>
      </c>
      <c r="C78" s="65">
        <v>0</v>
      </c>
      <c r="D78" s="65">
        <v>1</v>
      </c>
      <c r="E78" s="66">
        <v>1.5</v>
      </c>
      <c r="F78" s="58">
        <f t="shared" si="6"/>
        <v>1</v>
      </c>
      <c r="G78" s="35">
        <f t="shared" si="7"/>
        <v>1.5</v>
      </c>
      <c r="I78" s="32"/>
      <c r="J78" s="33"/>
      <c r="K78" s="32"/>
      <c r="L78" s="32"/>
      <c r="M78" s="34"/>
    </row>
    <row r="79" spans="1:13" s="4" customFormat="1">
      <c r="A79" s="64" t="s">
        <v>115</v>
      </c>
      <c r="B79" s="64" t="s">
        <v>82</v>
      </c>
      <c r="C79" s="65">
        <v>0</v>
      </c>
      <c r="D79" s="65">
        <v>1</v>
      </c>
      <c r="E79" s="66">
        <v>1</v>
      </c>
      <c r="F79" s="58">
        <f t="shared" si="6"/>
        <v>1</v>
      </c>
      <c r="G79" s="35">
        <f t="shared" si="7"/>
        <v>1</v>
      </c>
      <c r="I79" s="32"/>
      <c r="J79" s="33"/>
      <c r="K79" s="32"/>
      <c r="L79" s="32"/>
      <c r="M79" s="34"/>
    </row>
    <row r="80" spans="1:13" s="4" customFormat="1">
      <c r="A80" s="64" t="s">
        <v>116</v>
      </c>
      <c r="B80" s="64" t="s">
        <v>117</v>
      </c>
      <c r="C80" s="65">
        <v>1</v>
      </c>
      <c r="D80" s="65">
        <v>2</v>
      </c>
      <c r="E80" s="66">
        <v>1.25</v>
      </c>
      <c r="F80" s="58">
        <f t="shared" si="6"/>
        <v>3</v>
      </c>
      <c r="G80" s="35">
        <f t="shared" si="7"/>
        <v>3.75</v>
      </c>
      <c r="I80" s="32"/>
      <c r="J80" s="33"/>
      <c r="K80" s="32"/>
      <c r="L80" s="32"/>
      <c r="M80" s="34"/>
    </row>
    <row r="81" spans="1:13" s="4" customFormat="1">
      <c r="A81" s="64" t="s">
        <v>118</v>
      </c>
      <c r="B81" s="64" t="s">
        <v>70</v>
      </c>
      <c r="C81" s="65">
        <v>0</v>
      </c>
      <c r="D81" s="65">
        <v>1</v>
      </c>
      <c r="E81" s="66">
        <v>1.25</v>
      </c>
      <c r="F81" s="58">
        <f t="shared" si="6"/>
        <v>1</v>
      </c>
      <c r="G81" s="35">
        <f t="shared" si="7"/>
        <v>1.25</v>
      </c>
      <c r="I81" s="32"/>
      <c r="J81" s="33"/>
      <c r="K81" s="32"/>
      <c r="L81" s="32"/>
      <c r="M81" s="34"/>
    </row>
    <row r="82" spans="1:13" s="4" customFormat="1">
      <c r="A82" s="64" t="s">
        <v>119</v>
      </c>
      <c r="B82" s="64" t="s">
        <v>120</v>
      </c>
      <c r="C82" s="65">
        <v>2</v>
      </c>
      <c r="D82" s="65">
        <v>1</v>
      </c>
      <c r="E82" s="66">
        <v>1.75</v>
      </c>
      <c r="F82" s="58">
        <f t="shared" si="6"/>
        <v>3</v>
      </c>
      <c r="G82" s="35">
        <f t="shared" si="7"/>
        <v>5.25</v>
      </c>
      <c r="I82" s="32"/>
      <c r="J82" s="33"/>
      <c r="K82" s="32"/>
      <c r="L82" s="32"/>
      <c r="M82" s="34"/>
    </row>
    <row r="83" spans="1:13" s="4" customFormat="1" ht="27.6">
      <c r="A83" s="64" t="s">
        <v>121</v>
      </c>
      <c r="B83" s="64" t="s">
        <v>90</v>
      </c>
      <c r="C83" s="65">
        <v>0</v>
      </c>
      <c r="D83" s="65">
        <v>1</v>
      </c>
      <c r="E83" s="66">
        <v>1.75</v>
      </c>
      <c r="F83" s="58">
        <f t="shared" si="6"/>
        <v>1</v>
      </c>
      <c r="G83" s="35">
        <f t="shared" si="7"/>
        <v>1.75</v>
      </c>
      <c r="I83" s="32"/>
      <c r="J83" s="33"/>
      <c r="K83" s="32"/>
      <c r="L83" s="32"/>
      <c r="M83" s="34"/>
    </row>
    <row r="84" spans="1:13" s="4" customFormat="1">
      <c r="A84" s="64" t="s">
        <v>122</v>
      </c>
      <c r="B84" s="64" t="s">
        <v>72</v>
      </c>
      <c r="C84" s="65">
        <v>0</v>
      </c>
      <c r="D84" s="65">
        <v>1</v>
      </c>
      <c r="E84" s="66">
        <v>1.75</v>
      </c>
      <c r="F84" s="58">
        <f t="shared" si="6"/>
        <v>1</v>
      </c>
      <c r="G84" s="35">
        <f t="shared" si="7"/>
        <v>1.75</v>
      </c>
      <c r="I84" s="32"/>
      <c r="J84" s="33"/>
      <c r="K84" s="32"/>
      <c r="L84" s="32"/>
      <c r="M84" s="34"/>
    </row>
    <row r="85" spans="1:13" s="4" customFormat="1">
      <c r="A85" s="59"/>
      <c r="B85" s="59"/>
      <c r="C85" s="59"/>
      <c r="D85" s="59"/>
      <c r="E85" s="60"/>
      <c r="F85" s="35">
        <f t="shared" si="6"/>
        <v>0</v>
      </c>
      <c r="G85" s="35">
        <f t="shared" si="7"/>
        <v>0</v>
      </c>
      <c r="I85" s="32"/>
      <c r="J85" s="32"/>
      <c r="K85" s="32"/>
      <c r="L85" s="32"/>
      <c r="M85" s="34"/>
    </row>
    <row r="86" spans="1:13" s="4" customFormat="1">
      <c r="A86" s="32"/>
      <c r="B86" s="32"/>
      <c r="C86" s="32"/>
      <c r="D86" s="32"/>
      <c r="E86" s="34"/>
      <c r="F86" s="35">
        <f t="shared" si="6"/>
        <v>0</v>
      </c>
      <c r="G86" s="35">
        <f t="shared" si="7"/>
        <v>0</v>
      </c>
      <c r="I86" s="32"/>
      <c r="J86" s="32"/>
      <c r="K86" s="32"/>
      <c r="L86" s="32"/>
      <c r="M86" s="34"/>
    </row>
    <row r="87" spans="1:13" s="4" customFormat="1">
      <c r="A87" s="32"/>
      <c r="B87" s="32"/>
      <c r="C87" s="32"/>
      <c r="D87" s="32"/>
      <c r="E87" s="34"/>
      <c r="F87" s="35">
        <f t="shared" si="6"/>
        <v>0</v>
      </c>
      <c r="G87" s="35">
        <f t="shared" si="7"/>
        <v>0</v>
      </c>
      <c r="I87" s="32"/>
      <c r="J87" s="32"/>
      <c r="K87" s="32"/>
      <c r="L87" s="32"/>
      <c r="M87" s="34"/>
    </row>
    <row r="88" spans="1:13" s="5" customFormat="1">
      <c r="A88" s="37" t="s">
        <v>33</v>
      </c>
      <c r="B88" s="4"/>
      <c r="C88" s="4"/>
      <c r="D88" s="4"/>
      <c r="E88" s="42"/>
      <c r="F88" s="43"/>
      <c r="G88" s="44"/>
      <c r="H88" s="4"/>
      <c r="I88" s="37" t="s">
        <v>33</v>
      </c>
      <c r="J88" s="4"/>
      <c r="K88" s="4"/>
      <c r="L88" s="4"/>
      <c r="M88" s="42"/>
    </row>
    <row r="89" spans="1:13" s="4" customFormat="1">
      <c r="A89" s="8"/>
      <c r="B89" s="10" t="s">
        <v>26</v>
      </c>
      <c r="C89" s="8"/>
      <c r="D89" s="8"/>
      <c r="E89" s="8"/>
      <c r="F89" s="9"/>
      <c r="G89" s="9"/>
      <c r="I89" s="8"/>
      <c r="J89" s="10" t="s">
        <v>26</v>
      </c>
      <c r="K89" s="8"/>
      <c r="L89" s="8"/>
      <c r="M89" s="8"/>
    </row>
    <row r="90" spans="1:13" s="4" customFormat="1">
      <c r="A90" s="67" t="s">
        <v>123</v>
      </c>
      <c r="B90" s="67" t="s">
        <v>124</v>
      </c>
      <c r="C90" s="65">
        <v>2</v>
      </c>
      <c r="D90" s="65">
        <v>1</v>
      </c>
      <c r="E90" s="66">
        <v>1.75</v>
      </c>
      <c r="F90" s="58">
        <f>SUM(C90:D90)</f>
        <v>3</v>
      </c>
      <c r="G90" s="35">
        <f>E90*F90</f>
        <v>5.25</v>
      </c>
      <c r="I90" s="32"/>
      <c r="J90" s="33"/>
      <c r="K90" s="32"/>
      <c r="L90" s="32"/>
      <c r="M90" s="34"/>
    </row>
    <row r="91" spans="1:13" s="4" customFormat="1">
      <c r="A91" s="67" t="s">
        <v>125</v>
      </c>
      <c r="B91" s="67" t="s">
        <v>126</v>
      </c>
      <c r="C91" s="65">
        <v>2</v>
      </c>
      <c r="D91" s="65">
        <v>1</v>
      </c>
      <c r="E91" s="66">
        <v>1.5</v>
      </c>
      <c r="F91" s="58">
        <f t="shared" ref="F91:F110" si="8">SUM(C91:D91)</f>
        <v>3</v>
      </c>
      <c r="G91" s="35">
        <f t="shared" ref="G91:G110" si="9">E91*F91</f>
        <v>4.5</v>
      </c>
      <c r="I91" s="32"/>
      <c r="J91" s="33"/>
      <c r="K91" s="32"/>
      <c r="L91" s="32"/>
      <c r="M91" s="34"/>
    </row>
    <row r="92" spans="1:13" s="4" customFormat="1">
      <c r="A92" s="67" t="s">
        <v>127</v>
      </c>
      <c r="B92" s="67" t="s">
        <v>128</v>
      </c>
      <c r="C92" s="65">
        <v>3</v>
      </c>
      <c r="D92" s="65">
        <v>0</v>
      </c>
      <c r="E92" s="66">
        <v>1.75</v>
      </c>
      <c r="F92" s="58">
        <f t="shared" si="8"/>
        <v>3</v>
      </c>
      <c r="G92" s="35">
        <f t="shared" si="9"/>
        <v>5.25</v>
      </c>
      <c r="I92" s="32"/>
      <c r="J92" s="33"/>
      <c r="K92" s="32"/>
      <c r="L92" s="32"/>
      <c r="M92" s="34"/>
    </row>
    <row r="93" spans="1:13" s="4" customFormat="1">
      <c r="A93" s="67" t="s">
        <v>129</v>
      </c>
      <c r="B93" s="67" t="s">
        <v>130</v>
      </c>
      <c r="C93" s="65">
        <v>2</v>
      </c>
      <c r="D93" s="65">
        <v>1</v>
      </c>
      <c r="E93" s="66">
        <v>1.25</v>
      </c>
      <c r="F93" s="58">
        <f t="shared" si="8"/>
        <v>3</v>
      </c>
      <c r="G93" s="35">
        <f t="shared" si="9"/>
        <v>3.75</v>
      </c>
      <c r="I93" s="32"/>
      <c r="J93" s="33"/>
      <c r="K93" s="32"/>
      <c r="L93" s="32"/>
      <c r="M93" s="34"/>
    </row>
    <row r="94" spans="1:13" s="4" customFormat="1">
      <c r="A94" s="67" t="s">
        <v>131</v>
      </c>
      <c r="B94" s="67" t="s">
        <v>132</v>
      </c>
      <c r="C94" s="65">
        <v>0</v>
      </c>
      <c r="D94" s="65">
        <v>1</v>
      </c>
      <c r="E94" s="66">
        <v>1.25</v>
      </c>
      <c r="F94" s="58">
        <f t="shared" si="8"/>
        <v>1</v>
      </c>
      <c r="G94" s="35">
        <f t="shared" si="9"/>
        <v>1.25</v>
      </c>
      <c r="I94" s="32"/>
      <c r="J94" s="33"/>
      <c r="K94" s="32"/>
      <c r="L94" s="32"/>
      <c r="M94" s="34"/>
    </row>
    <row r="95" spans="1:13" s="4" customFormat="1">
      <c r="A95" s="67" t="s">
        <v>133</v>
      </c>
      <c r="B95" s="67" t="s">
        <v>134</v>
      </c>
      <c r="C95" s="65">
        <v>2</v>
      </c>
      <c r="D95" s="65">
        <v>1</v>
      </c>
      <c r="E95" s="66">
        <v>1.25</v>
      </c>
      <c r="F95" s="58">
        <f t="shared" si="8"/>
        <v>3</v>
      </c>
      <c r="G95" s="35">
        <f t="shared" si="9"/>
        <v>3.75</v>
      </c>
      <c r="I95" s="32"/>
      <c r="J95" s="33"/>
      <c r="K95" s="32"/>
      <c r="L95" s="32"/>
      <c r="M95" s="34"/>
    </row>
    <row r="96" spans="1:13" s="4" customFormat="1">
      <c r="A96" s="67" t="s">
        <v>135</v>
      </c>
      <c r="B96" s="67" t="s">
        <v>136</v>
      </c>
      <c r="C96" s="65">
        <v>2</v>
      </c>
      <c r="D96" s="65">
        <v>1</v>
      </c>
      <c r="E96" s="66">
        <v>1.75</v>
      </c>
      <c r="F96" s="58">
        <f t="shared" si="8"/>
        <v>3</v>
      </c>
      <c r="G96" s="35">
        <f t="shared" si="9"/>
        <v>5.25</v>
      </c>
      <c r="I96" s="32"/>
      <c r="J96" s="33"/>
      <c r="K96" s="32"/>
      <c r="L96" s="32"/>
      <c r="M96" s="34"/>
    </row>
    <row r="97" spans="1:13" s="4" customFormat="1">
      <c r="A97" s="59"/>
      <c r="B97" s="59"/>
      <c r="C97" s="59"/>
      <c r="D97" s="59"/>
      <c r="E97" s="60"/>
      <c r="F97" s="35">
        <f t="shared" si="8"/>
        <v>0</v>
      </c>
      <c r="G97" s="35">
        <f t="shared" si="9"/>
        <v>0</v>
      </c>
      <c r="I97" s="32"/>
      <c r="J97" s="32"/>
      <c r="K97" s="32"/>
      <c r="L97" s="32"/>
      <c r="M97" s="34"/>
    </row>
    <row r="98" spans="1:13" s="4" customFormat="1">
      <c r="A98" s="32"/>
      <c r="B98" s="32"/>
      <c r="C98" s="32"/>
      <c r="D98" s="32"/>
      <c r="E98" s="34"/>
      <c r="F98" s="35">
        <f t="shared" si="8"/>
        <v>0</v>
      </c>
      <c r="G98" s="35">
        <f t="shared" si="9"/>
        <v>0</v>
      </c>
      <c r="I98" s="32"/>
      <c r="J98" s="32"/>
      <c r="K98" s="32"/>
      <c r="L98" s="32"/>
      <c r="M98" s="34"/>
    </row>
    <row r="99" spans="1:13" s="4" customFormat="1">
      <c r="A99" s="32"/>
      <c r="B99" s="32"/>
      <c r="C99" s="32"/>
      <c r="D99" s="32"/>
      <c r="E99" s="34"/>
      <c r="F99" s="35">
        <f t="shared" si="8"/>
        <v>0</v>
      </c>
      <c r="G99" s="35">
        <f t="shared" si="9"/>
        <v>0</v>
      </c>
      <c r="I99" s="32"/>
      <c r="J99" s="32"/>
      <c r="K99" s="32"/>
      <c r="L99" s="32"/>
      <c r="M99" s="34"/>
    </row>
    <row r="100" spans="1:13" s="4" customFormat="1">
      <c r="A100" s="8"/>
      <c r="B100" s="10" t="s">
        <v>29</v>
      </c>
      <c r="C100" s="8"/>
      <c r="D100" s="8"/>
      <c r="E100" s="36"/>
      <c r="F100" s="35">
        <f t="shared" si="8"/>
        <v>0</v>
      </c>
      <c r="G100" s="35">
        <f t="shared" si="9"/>
        <v>0</v>
      </c>
      <c r="I100" s="8"/>
      <c r="J100" s="10" t="s">
        <v>29</v>
      </c>
      <c r="K100" s="8"/>
      <c r="L100" s="8"/>
      <c r="M100" s="36"/>
    </row>
    <row r="101" spans="1:13" s="4" customFormat="1">
      <c r="A101" s="32"/>
      <c r="B101" s="33"/>
      <c r="C101" s="32"/>
      <c r="D101" s="32"/>
      <c r="E101" s="34"/>
      <c r="F101" s="35">
        <f t="shared" si="8"/>
        <v>0</v>
      </c>
      <c r="G101" s="35">
        <f t="shared" si="9"/>
        <v>0</v>
      </c>
      <c r="I101" s="32"/>
      <c r="J101" s="33"/>
      <c r="K101" s="32"/>
      <c r="L101" s="32"/>
      <c r="M101" s="34"/>
    </row>
    <row r="102" spans="1:13" s="4" customFormat="1">
      <c r="A102" s="32"/>
      <c r="B102" s="33"/>
      <c r="C102" s="32"/>
      <c r="D102" s="32"/>
      <c r="E102" s="34"/>
      <c r="F102" s="35">
        <f t="shared" si="8"/>
        <v>0</v>
      </c>
      <c r="G102" s="35">
        <f t="shared" si="9"/>
        <v>0</v>
      </c>
      <c r="I102" s="32"/>
      <c r="J102" s="33"/>
      <c r="K102" s="32"/>
      <c r="L102" s="32"/>
      <c r="M102" s="34"/>
    </row>
    <row r="103" spans="1:13">
      <c r="A103" s="32"/>
      <c r="B103" s="33"/>
      <c r="C103" s="32"/>
      <c r="D103" s="32"/>
      <c r="E103" s="34"/>
      <c r="F103" s="35">
        <f t="shared" si="8"/>
        <v>0</v>
      </c>
      <c r="G103" s="35">
        <f t="shared" si="9"/>
        <v>0</v>
      </c>
      <c r="I103" s="32"/>
      <c r="J103" s="33"/>
      <c r="K103" s="32"/>
      <c r="L103" s="32"/>
      <c r="M103" s="34"/>
    </row>
    <row r="104" spans="1:13">
      <c r="A104" s="32"/>
      <c r="B104" s="33"/>
      <c r="C104" s="32"/>
      <c r="D104" s="32"/>
      <c r="E104" s="34"/>
      <c r="F104" s="35">
        <f t="shared" si="8"/>
        <v>0</v>
      </c>
      <c r="G104" s="35">
        <f t="shared" si="9"/>
        <v>0</v>
      </c>
      <c r="I104" s="32"/>
      <c r="J104" s="33"/>
      <c r="K104" s="32"/>
      <c r="L104" s="32"/>
      <c r="M104" s="34"/>
    </row>
    <row r="105" spans="1:13">
      <c r="A105" s="32"/>
      <c r="B105" s="33"/>
      <c r="C105" s="32"/>
      <c r="D105" s="32"/>
      <c r="E105" s="34"/>
      <c r="F105" s="35">
        <f t="shared" si="8"/>
        <v>0</v>
      </c>
      <c r="G105" s="35">
        <f t="shared" si="9"/>
        <v>0</v>
      </c>
      <c r="I105" s="32"/>
      <c r="J105" s="33"/>
      <c r="K105" s="32"/>
      <c r="L105" s="32"/>
      <c r="M105" s="34"/>
    </row>
    <row r="106" spans="1:13">
      <c r="A106" s="32"/>
      <c r="B106" s="33"/>
      <c r="C106" s="32"/>
      <c r="D106" s="32"/>
      <c r="E106" s="34"/>
      <c r="F106" s="35">
        <f t="shared" si="8"/>
        <v>0</v>
      </c>
      <c r="G106" s="35">
        <f t="shared" si="9"/>
        <v>0</v>
      </c>
      <c r="I106" s="32"/>
      <c r="J106" s="33"/>
      <c r="K106" s="32"/>
      <c r="L106" s="32"/>
      <c r="M106" s="34"/>
    </row>
    <row r="107" spans="1:13">
      <c r="A107" s="32"/>
      <c r="B107" s="33"/>
      <c r="C107" s="32"/>
      <c r="D107" s="32"/>
      <c r="E107" s="34"/>
      <c r="F107" s="35">
        <f t="shared" si="8"/>
        <v>0</v>
      </c>
      <c r="G107" s="35">
        <f t="shared" si="9"/>
        <v>0</v>
      </c>
      <c r="I107" s="32"/>
      <c r="J107" s="33"/>
      <c r="K107" s="32"/>
      <c r="L107" s="32"/>
      <c r="M107" s="34"/>
    </row>
    <row r="108" spans="1:13">
      <c r="A108" s="32"/>
      <c r="B108" s="32"/>
      <c r="C108" s="32"/>
      <c r="D108" s="32"/>
      <c r="E108" s="34"/>
      <c r="F108" s="35">
        <f t="shared" si="8"/>
        <v>0</v>
      </c>
      <c r="G108" s="35">
        <f t="shared" si="9"/>
        <v>0</v>
      </c>
      <c r="I108" s="32"/>
      <c r="J108" s="32"/>
      <c r="K108" s="32"/>
      <c r="L108" s="32"/>
      <c r="M108" s="34"/>
    </row>
    <row r="109" spans="1:13">
      <c r="A109" s="32"/>
      <c r="B109" s="32"/>
      <c r="C109" s="32"/>
      <c r="D109" s="32"/>
      <c r="E109" s="34"/>
      <c r="F109" s="35">
        <f t="shared" si="8"/>
        <v>0</v>
      </c>
      <c r="G109" s="35">
        <f t="shared" si="9"/>
        <v>0</v>
      </c>
      <c r="I109" s="32"/>
      <c r="J109" s="32"/>
      <c r="K109" s="32"/>
      <c r="L109" s="32"/>
      <c r="M109" s="34"/>
    </row>
    <row r="110" spans="1:13">
      <c r="A110" s="32"/>
      <c r="B110" s="32"/>
      <c r="C110" s="32"/>
      <c r="D110" s="32"/>
      <c r="E110" s="34"/>
      <c r="F110" s="35">
        <f t="shared" si="8"/>
        <v>0</v>
      </c>
      <c r="G110" s="35">
        <f t="shared" si="9"/>
        <v>0</v>
      </c>
      <c r="I110" s="32"/>
      <c r="J110" s="32"/>
      <c r="K110" s="32"/>
      <c r="L110" s="32"/>
      <c r="M110" s="34"/>
    </row>
    <row r="112" spans="1:13" ht="27.6">
      <c r="E112" s="45"/>
      <c r="F112" s="46" t="s">
        <v>34</v>
      </c>
      <c r="G112" s="46" t="s">
        <v>35</v>
      </c>
      <c r="M112" s="45"/>
    </row>
    <row r="113" spans="5:13">
      <c r="E113" s="45"/>
      <c r="F113" s="47">
        <f>SUM(F21:F110)</f>
        <v>130</v>
      </c>
      <c r="G113" s="47">
        <f>SUM(G21:G110)</f>
        <v>198.75</v>
      </c>
      <c r="M113" s="45"/>
    </row>
    <row r="115" spans="5:13">
      <c r="E115" s="6" t="s">
        <v>6</v>
      </c>
      <c r="F115" s="7">
        <f>G113/F113</f>
        <v>1.5288461538461537</v>
      </c>
    </row>
  </sheetData>
  <mergeCells count="16">
    <mergeCell ref="A1:G1"/>
    <mergeCell ref="I1:M1"/>
    <mergeCell ref="A2:G2"/>
    <mergeCell ref="I2:M2"/>
    <mergeCell ref="A3:G3"/>
    <mergeCell ref="I3:M3"/>
    <mergeCell ref="A17:G17"/>
    <mergeCell ref="I17:M17"/>
    <mergeCell ref="B12:B13"/>
    <mergeCell ref="J12:J13"/>
    <mergeCell ref="A5:G5"/>
    <mergeCell ref="I5:M5"/>
    <mergeCell ref="A6:G6"/>
    <mergeCell ref="I6:M6"/>
    <mergeCell ref="C12:D12"/>
    <mergeCell ref="K12:L12"/>
  </mergeCells>
  <conditionalFormatting sqref="E1:E16 E18:E64 F42:H42 E66:E112 G88 D113:E113 E114:E1048576">
    <cfRule type="containsText" dxfId="5" priority="11" operator="containsText" text="3.00">
      <formula>NOT(ISERROR(SEARCH("3.00",D1)))</formula>
    </cfRule>
    <cfRule type="containsText" dxfId="4" priority="12" operator="containsText" text="2.75">
      <formula>NOT(ISERROR(SEARCH("2.75",D1)))</formula>
    </cfRule>
  </conditionalFormatting>
  <conditionalFormatting sqref="F112:G112">
    <cfRule type="containsText" dxfId="3" priority="7" operator="containsText" text="3.00">
      <formula>NOT(ISERROR(SEARCH("3.00",F112)))</formula>
    </cfRule>
    <cfRule type="containsText" dxfId="2" priority="8" operator="containsText" text="2.75">
      <formula>NOT(ISERROR(SEARCH("2.75",F112)))</formula>
    </cfRule>
  </conditionalFormatting>
  <conditionalFormatting sqref="M1:M16 M18:M64 M66:M112 L113:M113 M114:M1048576">
    <cfRule type="containsText" dxfId="1" priority="5" operator="containsText" text="3.00">
      <formula>NOT(ISERROR(SEARCH("3.00",L1)))</formula>
    </cfRule>
    <cfRule type="containsText" dxfId="0" priority="6" operator="containsText" text="2.75">
      <formula>NOT(ISERROR(SEARCH("2.75",L1)))</formula>
    </cfRule>
  </conditionalFormatting>
  <pageMargins left="0.33" right="0.22" top="0.36" bottom="0.59" header="0.3" footer="0.6"/>
  <pageSetup paperSize="5" orientation="portrait"/>
  <rowBreaks count="1" manualBreakCount="1">
    <brk id="63" max="9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pc</dc:creator>
  <cp:lastModifiedBy>Karl Cyrus Celda</cp:lastModifiedBy>
  <cp:lastPrinted>2019-12-16T01:55:00Z</cp:lastPrinted>
  <dcterms:created xsi:type="dcterms:W3CDTF">2018-03-23T04:32:00Z</dcterms:created>
  <dcterms:modified xsi:type="dcterms:W3CDTF">2026-04-27T15:46:53Z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4CB57EFDD51D4A72A0F9901CD8344C7B_12</vt:lpwstr>
  </property>
  <property fmtid="{D5CDD505-2E9C-101B-9397-08002B2CF9AE}" pid="3" name="KSOProductBuildVer">
    <vt:lpwstr>1033-12.2.0.23196</vt:lpwstr>
  </property>
</Properties>
</file>